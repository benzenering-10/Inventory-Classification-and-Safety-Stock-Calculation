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4554f33240a8a24e/Desktop/"/>
    </mc:Choice>
  </mc:AlternateContent>
  <xr:revisionPtr revIDLastSave="975" documentId="8_{D974C53F-B931-47D7-9058-A02918D2D016}" xr6:coauthVersionLast="47" xr6:coauthVersionMax="47" xr10:uidLastSave="{2340A78F-5856-4719-857E-E2D201744DA5}"/>
  <bookViews>
    <workbookView xWindow="-120" yWindow="-120" windowWidth="29040" windowHeight="15840" activeTab="2" xr2:uid="{00000000-000D-0000-FFFF-FFFF00000000}"/>
  </bookViews>
  <sheets>
    <sheet name="Given" sheetId="1" r:id="rId1"/>
    <sheet name="Sales" sheetId="2" r:id="rId2"/>
    <sheet name="Hits" sheetId="3" r:id="rId3"/>
    <sheet name="ABC Calc" sheetId="4" r:id="rId4"/>
    <sheet name="Sales Summary" sheetId="10" r:id="rId5"/>
    <sheet name="Part B" sheetId="5" r:id="rId6"/>
  </sheets>
  <externalReferences>
    <externalReference r:id="rId7"/>
  </externalReferenc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E3" i="5" s="1"/>
  <c r="F3" i="5" s="1"/>
  <c r="D4" i="5"/>
  <c r="E4" i="5" s="1"/>
  <c r="F4" i="5" s="1"/>
  <c r="D5" i="5"/>
  <c r="E5" i="5" s="1"/>
  <c r="F5" i="5" s="1"/>
  <c r="D2" i="5"/>
  <c r="E2" i="5" s="1"/>
  <c r="F2" i="5" s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" i="10"/>
  <c r="C206" i="10"/>
  <c r="C205" i="10"/>
  <c r="C204" i="10"/>
  <c r="C203" i="10"/>
  <c r="C202" i="10"/>
  <c r="C201" i="10"/>
  <c r="C200" i="10"/>
  <c r="C199" i="10"/>
  <c r="C198" i="10"/>
  <c r="C197" i="10"/>
  <c r="C196" i="10"/>
  <c r="C195" i="10"/>
  <c r="C194" i="10"/>
  <c r="C193" i="10"/>
  <c r="C192" i="10"/>
  <c r="C191" i="10"/>
  <c r="C190" i="10"/>
  <c r="C189" i="10"/>
  <c r="C188" i="10"/>
  <c r="C187" i="10"/>
  <c r="C186" i="10"/>
  <c r="C185" i="10"/>
  <c r="C184" i="10"/>
  <c r="C183" i="10"/>
  <c r="C182" i="10"/>
  <c r="C181" i="10"/>
  <c r="C180" i="10"/>
  <c r="C179" i="10"/>
  <c r="C178" i="10"/>
  <c r="C177" i="10"/>
  <c r="C176" i="10"/>
  <c r="C175" i="10"/>
  <c r="C174" i="10"/>
  <c r="C173" i="10"/>
  <c r="C172" i="10"/>
  <c r="C171" i="10"/>
  <c r="C170" i="10"/>
  <c r="C169" i="10"/>
  <c r="C168" i="10"/>
  <c r="C167" i="10"/>
  <c r="C166" i="10"/>
  <c r="C165" i="10"/>
  <c r="C164" i="10"/>
  <c r="C163" i="10"/>
  <c r="C162" i="10"/>
  <c r="C161" i="10"/>
  <c r="C160" i="10"/>
  <c r="C159" i="10"/>
  <c r="C158" i="10"/>
  <c r="C157" i="10"/>
  <c r="C156" i="10"/>
  <c r="C155" i="10"/>
  <c r="C154" i="10"/>
  <c r="C153" i="10"/>
  <c r="C152" i="10"/>
  <c r="C151" i="10"/>
  <c r="C150" i="10"/>
  <c r="C149" i="10"/>
  <c r="C148" i="10"/>
  <c r="C147" i="10"/>
  <c r="C146" i="10"/>
  <c r="C145" i="10"/>
  <c r="C144" i="10"/>
  <c r="C143" i="10"/>
  <c r="C142" i="10"/>
  <c r="C141" i="10"/>
  <c r="C140" i="10"/>
  <c r="C139" i="10"/>
  <c r="C138" i="10"/>
  <c r="C137" i="10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C25" i="4" s="1"/>
  <c r="E25" i="4" s="1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C49" i="4" s="1"/>
  <c r="E49" i="4" s="1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C74" i="4" s="1"/>
  <c r="E74" i="4" s="1"/>
  <c r="E115" i="3"/>
  <c r="E116" i="3"/>
  <c r="E117" i="3"/>
  <c r="E118" i="3"/>
  <c r="E119" i="3"/>
  <c r="E120" i="3"/>
  <c r="E121" i="3"/>
  <c r="E122" i="3"/>
  <c r="C180" i="4" s="1"/>
  <c r="E180" i="4" s="1"/>
  <c r="E123" i="3"/>
  <c r="E124" i="3"/>
  <c r="E125" i="3"/>
  <c r="E126" i="3"/>
  <c r="E127" i="3"/>
  <c r="E128" i="3"/>
  <c r="E129" i="3"/>
  <c r="E130" i="3"/>
  <c r="C105" i="4" s="1"/>
  <c r="E105" i="4" s="1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C84" i="4" s="1"/>
  <c r="E84" i="4" s="1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C153" i="4" s="1"/>
  <c r="E153" i="4" s="1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C156" i="4" s="1"/>
  <c r="E156" i="4" s="1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C188" i="4" s="1"/>
  <c r="E188" i="4" s="1"/>
  <c r="E195" i="3"/>
  <c r="E196" i="3"/>
  <c r="E197" i="3"/>
  <c r="E198" i="3"/>
  <c r="E199" i="3"/>
  <c r="E200" i="3"/>
  <c r="E201" i="3"/>
  <c r="E202" i="3"/>
  <c r="E203" i="3"/>
  <c r="E204" i="3"/>
  <c r="E205" i="3"/>
  <c r="E206" i="3"/>
  <c r="E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B66" i="4" s="1"/>
  <c r="D66" i="4" s="1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B98" i="4" s="1"/>
  <c r="D98" i="4" s="1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B178" i="4" s="1"/>
  <c r="D178" i="4" s="1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B194" i="4" s="1"/>
  <c r="D194" i="4" s="1"/>
  <c r="E195" i="2"/>
  <c r="E196" i="2"/>
  <c r="E197" i="2"/>
  <c r="E198" i="2"/>
  <c r="E199" i="2"/>
  <c r="E200" i="2"/>
  <c r="E201" i="2"/>
  <c r="E202" i="2"/>
  <c r="E203" i="2"/>
  <c r="E204" i="2"/>
  <c r="E205" i="2"/>
  <c r="E206" i="2"/>
  <c r="E2" i="2"/>
  <c r="C3" i="4"/>
  <c r="E3" i="4" s="1"/>
  <c r="C5" i="4"/>
  <c r="E5" i="4" s="1"/>
  <c r="C6" i="4"/>
  <c r="E6" i="4" s="1"/>
  <c r="C7" i="4"/>
  <c r="E7" i="4" s="1"/>
  <c r="C8" i="4"/>
  <c r="E8" i="4" s="1"/>
  <c r="C9" i="4"/>
  <c r="E9" i="4" s="1"/>
  <c r="C10" i="4"/>
  <c r="E10" i="4" s="1"/>
  <c r="C12" i="4"/>
  <c r="E12" i="4" s="1"/>
  <c r="C13" i="4"/>
  <c r="E13" i="4" s="1"/>
  <c r="C14" i="4"/>
  <c r="E14" i="4" s="1"/>
  <c r="C15" i="4"/>
  <c r="E15" i="4" s="1"/>
  <c r="C16" i="4"/>
  <c r="E16" i="4" s="1"/>
  <c r="C17" i="4"/>
  <c r="E17" i="4" s="1"/>
  <c r="C18" i="4"/>
  <c r="E18" i="4" s="1"/>
  <c r="C19" i="4"/>
  <c r="E19" i="4" s="1"/>
  <c r="C20" i="4"/>
  <c r="E20" i="4" s="1"/>
  <c r="C21" i="4"/>
  <c r="E21" i="4" s="1"/>
  <c r="C22" i="4"/>
  <c r="E22" i="4" s="1"/>
  <c r="C23" i="4"/>
  <c r="E23" i="4" s="1"/>
  <c r="C24" i="4"/>
  <c r="E24" i="4" s="1"/>
  <c r="C26" i="4"/>
  <c r="E26" i="4" s="1"/>
  <c r="C27" i="4"/>
  <c r="E27" i="4" s="1"/>
  <c r="C28" i="4"/>
  <c r="E28" i="4" s="1"/>
  <c r="C29" i="4"/>
  <c r="E29" i="4" s="1"/>
  <c r="C30" i="4"/>
  <c r="E30" i="4" s="1"/>
  <c r="C31" i="4"/>
  <c r="E31" i="4" s="1"/>
  <c r="C32" i="4"/>
  <c r="E32" i="4" s="1"/>
  <c r="C33" i="4"/>
  <c r="E33" i="4" s="1"/>
  <c r="C34" i="4"/>
  <c r="E34" i="4" s="1"/>
  <c r="C35" i="4"/>
  <c r="E35" i="4" s="1"/>
  <c r="C36" i="4"/>
  <c r="E36" i="4" s="1"/>
  <c r="C37" i="4"/>
  <c r="E37" i="4" s="1"/>
  <c r="C38" i="4"/>
  <c r="E38" i="4" s="1"/>
  <c r="C39" i="4"/>
  <c r="E39" i="4" s="1"/>
  <c r="C40" i="4"/>
  <c r="E40" i="4" s="1"/>
  <c r="C41" i="4"/>
  <c r="E41" i="4" s="1"/>
  <c r="C42" i="4"/>
  <c r="E42" i="4" s="1"/>
  <c r="C43" i="4"/>
  <c r="E43" i="4" s="1"/>
  <c r="C45" i="4"/>
  <c r="E45" i="4" s="1"/>
  <c r="C46" i="4"/>
  <c r="E46" i="4" s="1"/>
  <c r="C47" i="4"/>
  <c r="E47" i="4" s="1"/>
  <c r="C48" i="4"/>
  <c r="E48" i="4" s="1"/>
  <c r="C50" i="4"/>
  <c r="E50" i="4" s="1"/>
  <c r="C51" i="4"/>
  <c r="E51" i="4" s="1"/>
  <c r="C52" i="4"/>
  <c r="E52" i="4" s="1"/>
  <c r="C53" i="4"/>
  <c r="E53" i="4" s="1"/>
  <c r="C54" i="4"/>
  <c r="E54" i="4" s="1"/>
  <c r="C55" i="4"/>
  <c r="E55" i="4" s="1"/>
  <c r="C56" i="4"/>
  <c r="E56" i="4" s="1"/>
  <c r="C57" i="4"/>
  <c r="E57" i="4" s="1"/>
  <c r="C58" i="4"/>
  <c r="E58" i="4" s="1"/>
  <c r="C59" i="4"/>
  <c r="E59" i="4" s="1"/>
  <c r="C60" i="4"/>
  <c r="E60" i="4" s="1"/>
  <c r="C61" i="4"/>
  <c r="E61" i="4" s="1"/>
  <c r="C62" i="4"/>
  <c r="E62" i="4" s="1"/>
  <c r="C63" i="4"/>
  <c r="E63" i="4" s="1"/>
  <c r="C64" i="4"/>
  <c r="E64" i="4" s="1"/>
  <c r="C65" i="4"/>
  <c r="E65" i="4" s="1"/>
  <c r="C66" i="4"/>
  <c r="E66" i="4" s="1"/>
  <c r="C67" i="4"/>
  <c r="E67" i="4" s="1"/>
  <c r="C68" i="4"/>
  <c r="E68" i="4" s="1"/>
  <c r="C69" i="4"/>
  <c r="E69" i="4" s="1"/>
  <c r="C70" i="4"/>
  <c r="E70" i="4" s="1"/>
  <c r="C71" i="4"/>
  <c r="E71" i="4" s="1"/>
  <c r="C72" i="4"/>
  <c r="E72" i="4" s="1"/>
  <c r="C73" i="4"/>
  <c r="E73" i="4" s="1"/>
  <c r="C75" i="4"/>
  <c r="E75" i="4" s="1"/>
  <c r="C76" i="4"/>
  <c r="E76" i="4" s="1"/>
  <c r="C77" i="4"/>
  <c r="E77" i="4" s="1"/>
  <c r="C78" i="4"/>
  <c r="E78" i="4" s="1"/>
  <c r="C79" i="4"/>
  <c r="E79" i="4" s="1"/>
  <c r="C80" i="4"/>
  <c r="E80" i="4" s="1"/>
  <c r="C81" i="4"/>
  <c r="E81" i="4" s="1"/>
  <c r="C82" i="4"/>
  <c r="E82" i="4" s="1"/>
  <c r="C83" i="4"/>
  <c r="E83" i="4" s="1"/>
  <c r="C85" i="4"/>
  <c r="E85" i="4" s="1"/>
  <c r="C86" i="4"/>
  <c r="E86" i="4" s="1"/>
  <c r="C87" i="4"/>
  <c r="E87" i="4" s="1"/>
  <c r="C88" i="4"/>
  <c r="E88" i="4" s="1"/>
  <c r="C89" i="4"/>
  <c r="E89" i="4" s="1"/>
  <c r="C90" i="4"/>
  <c r="E90" i="4" s="1"/>
  <c r="C91" i="4"/>
  <c r="E91" i="4" s="1"/>
  <c r="C92" i="4"/>
  <c r="E92" i="4" s="1"/>
  <c r="C93" i="4"/>
  <c r="E93" i="4" s="1"/>
  <c r="C94" i="4"/>
  <c r="E94" i="4" s="1"/>
  <c r="C95" i="4"/>
  <c r="E95" i="4" s="1"/>
  <c r="C96" i="4"/>
  <c r="E96" i="4" s="1"/>
  <c r="C97" i="4"/>
  <c r="E97" i="4" s="1"/>
  <c r="C98" i="4"/>
  <c r="E98" i="4" s="1"/>
  <c r="C99" i="4"/>
  <c r="E99" i="4" s="1"/>
  <c r="C101" i="4"/>
  <c r="E101" i="4" s="1"/>
  <c r="C102" i="4"/>
  <c r="E102" i="4" s="1"/>
  <c r="C103" i="4"/>
  <c r="E103" i="4" s="1"/>
  <c r="C104" i="4"/>
  <c r="E104" i="4" s="1"/>
  <c r="C106" i="4"/>
  <c r="E106" i="4" s="1"/>
  <c r="C107" i="4"/>
  <c r="E107" i="4" s="1"/>
  <c r="C108" i="4"/>
  <c r="E108" i="4" s="1"/>
  <c r="C109" i="4"/>
  <c r="E109" i="4" s="1"/>
  <c r="C110" i="4"/>
  <c r="E110" i="4" s="1"/>
  <c r="C111" i="4"/>
  <c r="E111" i="4" s="1"/>
  <c r="C112" i="4"/>
  <c r="E112" i="4" s="1"/>
  <c r="C113" i="4"/>
  <c r="E113" i="4" s="1"/>
  <c r="C114" i="4"/>
  <c r="E114" i="4" s="1"/>
  <c r="C115" i="4"/>
  <c r="E115" i="4" s="1"/>
  <c r="C116" i="4"/>
  <c r="E116" i="4" s="1"/>
  <c r="C117" i="4"/>
  <c r="E117" i="4" s="1"/>
  <c r="C118" i="4"/>
  <c r="E118" i="4" s="1"/>
  <c r="C119" i="4"/>
  <c r="E119" i="4" s="1"/>
  <c r="C120" i="4"/>
  <c r="E120" i="4" s="1"/>
  <c r="C121" i="4"/>
  <c r="E121" i="4" s="1"/>
  <c r="C122" i="4"/>
  <c r="E122" i="4" s="1"/>
  <c r="C123" i="4"/>
  <c r="E123" i="4" s="1"/>
  <c r="C124" i="4"/>
  <c r="E124" i="4" s="1"/>
  <c r="C125" i="4"/>
  <c r="E125" i="4" s="1"/>
  <c r="C126" i="4"/>
  <c r="E126" i="4" s="1"/>
  <c r="C128" i="4"/>
  <c r="E128" i="4" s="1"/>
  <c r="C129" i="4"/>
  <c r="E129" i="4" s="1"/>
  <c r="C130" i="4"/>
  <c r="E130" i="4" s="1"/>
  <c r="C131" i="4"/>
  <c r="E131" i="4" s="1"/>
  <c r="C132" i="4"/>
  <c r="E132" i="4" s="1"/>
  <c r="C134" i="4"/>
  <c r="E134" i="4" s="1"/>
  <c r="C135" i="4"/>
  <c r="E135" i="4" s="1"/>
  <c r="C136" i="4"/>
  <c r="E136" i="4" s="1"/>
  <c r="C137" i="4"/>
  <c r="E137" i="4" s="1"/>
  <c r="C138" i="4"/>
  <c r="E138" i="4" s="1"/>
  <c r="C139" i="4"/>
  <c r="E139" i="4" s="1"/>
  <c r="C140" i="4"/>
  <c r="E140" i="4" s="1"/>
  <c r="C141" i="4"/>
  <c r="E141" i="4" s="1"/>
  <c r="C142" i="4"/>
  <c r="E142" i="4" s="1"/>
  <c r="C143" i="4"/>
  <c r="E143" i="4" s="1"/>
  <c r="C144" i="4"/>
  <c r="E144" i="4" s="1"/>
  <c r="C145" i="4"/>
  <c r="E145" i="4" s="1"/>
  <c r="C146" i="4"/>
  <c r="E146" i="4" s="1"/>
  <c r="C147" i="4"/>
  <c r="E147" i="4" s="1"/>
  <c r="C148" i="4"/>
  <c r="E148" i="4" s="1"/>
  <c r="C149" i="4"/>
  <c r="E149" i="4" s="1"/>
  <c r="C150" i="4"/>
  <c r="E150" i="4" s="1"/>
  <c r="C151" i="4"/>
  <c r="E151" i="4" s="1"/>
  <c r="C152" i="4"/>
  <c r="E152" i="4" s="1"/>
  <c r="C154" i="4"/>
  <c r="E154" i="4" s="1"/>
  <c r="C155" i="4"/>
  <c r="E155" i="4" s="1"/>
  <c r="C157" i="4"/>
  <c r="E157" i="4" s="1"/>
  <c r="C158" i="4"/>
  <c r="E158" i="4" s="1"/>
  <c r="C159" i="4"/>
  <c r="E159" i="4" s="1"/>
  <c r="C160" i="4"/>
  <c r="E160" i="4" s="1"/>
  <c r="C161" i="4"/>
  <c r="E161" i="4" s="1"/>
  <c r="C162" i="4"/>
  <c r="E162" i="4" s="1"/>
  <c r="C163" i="4"/>
  <c r="E163" i="4" s="1"/>
  <c r="C164" i="4"/>
  <c r="E164" i="4" s="1"/>
  <c r="C165" i="4"/>
  <c r="E165" i="4" s="1"/>
  <c r="C166" i="4"/>
  <c r="E166" i="4" s="1"/>
  <c r="C167" i="4"/>
  <c r="E167" i="4" s="1"/>
  <c r="C168" i="4"/>
  <c r="E168" i="4" s="1"/>
  <c r="C169" i="4"/>
  <c r="E169" i="4" s="1"/>
  <c r="C170" i="4"/>
  <c r="E170" i="4" s="1"/>
  <c r="C171" i="4"/>
  <c r="E171" i="4" s="1"/>
  <c r="C172" i="4"/>
  <c r="E172" i="4" s="1"/>
  <c r="C173" i="4"/>
  <c r="E173" i="4" s="1"/>
  <c r="C174" i="4"/>
  <c r="E174" i="4" s="1"/>
  <c r="C175" i="4"/>
  <c r="E175" i="4" s="1"/>
  <c r="C176" i="4"/>
  <c r="E176" i="4" s="1"/>
  <c r="C177" i="4"/>
  <c r="E177" i="4" s="1"/>
  <c r="C178" i="4"/>
  <c r="E178" i="4" s="1"/>
  <c r="C179" i="4"/>
  <c r="E179" i="4" s="1"/>
  <c r="C181" i="4"/>
  <c r="E181" i="4" s="1"/>
  <c r="C183" i="4"/>
  <c r="E183" i="4" s="1"/>
  <c r="C184" i="4"/>
  <c r="E184" i="4" s="1"/>
  <c r="C185" i="4"/>
  <c r="E185" i="4" s="1"/>
  <c r="C186" i="4"/>
  <c r="E186" i="4" s="1"/>
  <c r="C187" i="4"/>
  <c r="E187" i="4" s="1"/>
  <c r="C189" i="4"/>
  <c r="E189" i="4" s="1"/>
  <c r="C190" i="4"/>
  <c r="E190" i="4" s="1"/>
  <c r="C191" i="4"/>
  <c r="E191" i="4" s="1"/>
  <c r="C192" i="4"/>
  <c r="E192" i="4" s="1"/>
  <c r="C193" i="4"/>
  <c r="E193" i="4" s="1"/>
  <c r="C194" i="4"/>
  <c r="E194" i="4" s="1"/>
  <c r="C195" i="4"/>
  <c r="E195" i="4" s="1"/>
  <c r="C196" i="4"/>
  <c r="E196" i="4" s="1"/>
  <c r="C197" i="4"/>
  <c r="E197" i="4" s="1"/>
  <c r="C199" i="4"/>
  <c r="E199" i="4" s="1"/>
  <c r="C200" i="4"/>
  <c r="E200" i="4" s="1"/>
  <c r="C201" i="4"/>
  <c r="E201" i="4" s="1"/>
  <c r="C202" i="4"/>
  <c r="E202" i="4" s="1"/>
  <c r="C203" i="4"/>
  <c r="E203" i="4" s="1"/>
  <c r="C204" i="4"/>
  <c r="E204" i="4" s="1"/>
  <c r="C205" i="4"/>
  <c r="E205" i="4" s="1"/>
  <c r="C206" i="4"/>
  <c r="E206" i="4" s="1"/>
  <c r="C2" i="4"/>
  <c r="E2" i="4" s="1"/>
  <c r="B3" i="4"/>
  <c r="D3" i="4" s="1"/>
  <c r="B4" i="4"/>
  <c r="D4" i="4" s="1"/>
  <c r="B5" i="4"/>
  <c r="D5" i="4" s="1"/>
  <c r="B6" i="4"/>
  <c r="D6" i="4" s="1"/>
  <c r="B7" i="4"/>
  <c r="D7" i="4" s="1"/>
  <c r="B8" i="4"/>
  <c r="D8" i="4" s="1"/>
  <c r="B9" i="4"/>
  <c r="D9" i="4" s="1"/>
  <c r="B11" i="4"/>
  <c r="D11" i="4" s="1"/>
  <c r="B12" i="4"/>
  <c r="D12" i="4" s="1"/>
  <c r="F12" i="4" s="1"/>
  <c r="G12" i="4" s="1"/>
  <c r="B13" i="4"/>
  <c r="D13" i="4" s="1"/>
  <c r="B14" i="4"/>
  <c r="D14" i="4" s="1"/>
  <c r="B15" i="4"/>
  <c r="D15" i="4" s="1"/>
  <c r="B16" i="4"/>
  <c r="D16" i="4" s="1"/>
  <c r="B17" i="4"/>
  <c r="D17" i="4" s="1"/>
  <c r="B19" i="4"/>
  <c r="D19" i="4" s="1"/>
  <c r="B20" i="4"/>
  <c r="D20" i="4" s="1"/>
  <c r="F20" i="4" s="1"/>
  <c r="G20" i="4" s="1"/>
  <c r="B21" i="4"/>
  <c r="D21" i="4" s="1"/>
  <c r="B22" i="4"/>
  <c r="D22" i="4" s="1"/>
  <c r="B23" i="4"/>
  <c r="D23" i="4" s="1"/>
  <c r="B24" i="4"/>
  <c r="D24" i="4" s="1"/>
  <c r="B25" i="4"/>
  <c r="D25" i="4" s="1"/>
  <c r="B27" i="4"/>
  <c r="D27" i="4" s="1"/>
  <c r="F27" i="4" s="1"/>
  <c r="G27" i="4" s="1"/>
  <c r="B28" i="4"/>
  <c r="D28" i="4" s="1"/>
  <c r="F28" i="4" s="1"/>
  <c r="G28" i="4" s="1"/>
  <c r="B29" i="4"/>
  <c r="D29" i="4" s="1"/>
  <c r="B30" i="4"/>
  <c r="D30" i="4" s="1"/>
  <c r="B31" i="4"/>
  <c r="D31" i="4" s="1"/>
  <c r="B32" i="4"/>
  <c r="D32" i="4" s="1"/>
  <c r="B33" i="4"/>
  <c r="D33" i="4" s="1"/>
  <c r="B35" i="4"/>
  <c r="D35" i="4" s="1"/>
  <c r="B36" i="4"/>
  <c r="D36" i="4" s="1"/>
  <c r="F36" i="4" s="1"/>
  <c r="G36" i="4" s="1"/>
  <c r="B37" i="4"/>
  <c r="D37" i="4" s="1"/>
  <c r="B38" i="4"/>
  <c r="D38" i="4" s="1"/>
  <c r="B39" i="4"/>
  <c r="D39" i="4" s="1"/>
  <c r="B40" i="4"/>
  <c r="D40" i="4" s="1"/>
  <c r="B41" i="4"/>
  <c r="D41" i="4" s="1"/>
  <c r="B43" i="4"/>
  <c r="D43" i="4" s="1"/>
  <c r="F43" i="4" s="1"/>
  <c r="G43" i="4" s="1"/>
  <c r="B44" i="4"/>
  <c r="D44" i="4" s="1"/>
  <c r="B45" i="4"/>
  <c r="D45" i="4" s="1"/>
  <c r="B46" i="4"/>
  <c r="D46" i="4" s="1"/>
  <c r="B47" i="4"/>
  <c r="D47" i="4" s="1"/>
  <c r="B48" i="4"/>
  <c r="D48" i="4" s="1"/>
  <c r="F48" i="4" s="1"/>
  <c r="G48" i="4" s="1"/>
  <c r="B49" i="4"/>
  <c r="D49" i="4" s="1"/>
  <c r="B51" i="4"/>
  <c r="D51" i="4" s="1"/>
  <c r="B52" i="4"/>
  <c r="D52" i="4" s="1"/>
  <c r="B53" i="4"/>
  <c r="D53" i="4" s="1"/>
  <c r="B54" i="4"/>
  <c r="D54" i="4" s="1"/>
  <c r="B55" i="4"/>
  <c r="D55" i="4" s="1"/>
  <c r="B56" i="4"/>
  <c r="D56" i="4" s="1"/>
  <c r="B57" i="4"/>
  <c r="D57" i="4" s="1"/>
  <c r="B59" i="4"/>
  <c r="D59" i="4" s="1"/>
  <c r="B60" i="4"/>
  <c r="D60" i="4" s="1"/>
  <c r="B61" i="4"/>
  <c r="D61" i="4" s="1"/>
  <c r="B62" i="4"/>
  <c r="D62" i="4" s="1"/>
  <c r="B63" i="4"/>
  <c r="D63" i="4" s="1"/>
  <c r="B64" i="4"/>
  <c r="D64" i="4" s="1"/>
  <c r="B65" i="4"/>
  <c r="D65" i="4" s="1"/>
  <c r="B67" i="4"/>
  <c r="D67" i="4" s="1"/>
  <c r="B68" i="4"/>
  <c r="D68" i="4" s="1"/>
  <c r="B69" i="4"/>
  <c r="D69" i="4" s="1"/>
  <c r="B70" i="4"/>
  <c r="D70" i="4" s="1"/>
  <c r="B71" i="4"/>
  <c r="D71" i="4" s="1"/>
  <c r="B72" i="4"/>
  <c r="D72" i="4" s="1"/>
  <c r="B73" i="4"/>
  <c r="D73" i="4" s="1"/>
  <c r="B75" i="4"/>
  <c r="D75" i="4" s="1"/>
  <c r="B76" i="4"/>
  <c r="D76" i="4" s="1"/>
  <c r="F76" i="4" s="1"/>
  <c r="G76" i="4" s="1"/>
  <c r="B77" i="4"/>
  <c r="D77" i="4" s="1"/>
  <c r="B78" i="4"/>
  <c r="D78" i="4" s="1"/>
  <c r="B79" i="4"/>
  <c r="D79" i="4" s="1"/>
  <c r="B80" i="4"/>
  <c r="D80" i="4" s="1"/>
  <c r="B81" i="4"/>
  <c r="D81" i="4" s="1"/>
  <c r="B83" i="4"/>
  <c r="D83" i="4" s="1"/>
  <c r="B84" i="4"/>
  <c r="D84" i="4" s="1"/>
  <c r="B85" i="4"/>
  <c r="D85" i="4" s="1"/>
  <c r="B86" i="4"/>
  <c r="D86" i="4" s="1"/>
  <c r="B87" i="4"/>
  <c r="D87" i="4" s="1"/>
  <c r="B88" i="4"/>
  <c r="D88" i="4" s="1"/>
  <c r="B89" i="4"/>
  <c r="D89" i="4" s="1"/>
  <c r="B91" i="4"/>
  <c r="D91" i="4" s="1"/>
  <c r="F91" i="4" s="1"/>
  <c r="G91" i="4" s="1"/>
  <c r="B92" i="4"/>
  <c r="D92" i="4" s="1"/>
  <c r="F92" i="4" s="1"/>
  <c r="G92" i="4" s="1"/>
  <c r="B93" i="4"/>
  <c r="D93" i="4" s="1"/>
  <c r="B94" i="4"/>
  <c r="D94" i="4" s="1"/>
  <c r="B95" i="4"/>
  <c r="D95" i="4" s="1"/>
  <c r="B96" i="4"/>
  <c r="D96" i="4" s="1"/>
  <c r="B97" i="4"/>
  <c r="D97" i="4" s="1"/>
  <c r="F97" i="4" s="1"/>
  <c r="G97" i="4" s="1"/>
  <c r="B99" i="4"/>
  <c r="D99" i="4" s="1"/>
  <c r="B100" i="4"/>
  <c r="D100" i="4" s="1"/>
  <c r="B101" i="4"/>
  <c r="D101" i="4" s="1"/>
  <c r="B102" i="4"/>
  <c r="D102" i="4" s="1"/>
  <c r="B103" i="4"/>
  <c r="D103" i="4" s="1"/>
  <c r="B104" i="4"/>
  <c r="D104" i="4" s="1"/>
  <c r="B105" i="4"/>
  <c r="D105" i="4" s="1"/>
  <c r="B107" i="4"/>
  <c r="D107" i="4" s="1"/>
  <c r="F107" i="4" s="1"/>
  <c r="G107" i="4" s="1"/>
  <c r="B108" i="4"/>
  <c r="D108" i="4" s="1"/>
  <c r="F108" i="4" s="1"/>
  <c r="G108" i="4" s="1"/>
  <c r="B109" i="4"/>
  <c r="D109" i="4" s="1"/>
  <c r="B110" i="4"/>
  <c r="D110" i="4" s="1"/>
  <c r="B111" i="4"/>
  <c r="D111" i="4" s="1"/>
  <c r="B112" i="4"/>
  <c r="D112" i="4" s="1"/>
  <c r="F112" i="4" s="1"/>
  <c r="G112" i="4" s="1"/>
  <c r="B113" i="4"/>
  <c r="D113" i="4" s="1"/>
  <c r="F113" i="4" s="1"/>
  <c r="G113" i="4" s="1"/>
  <c r="B115" i="4"/>
  <c r="D115" i="4" s="1"/>
  <c r="B116" i="4"/>
  <c r="D116" i="4" s="1"/>
  <c r="B117" i="4"/>
  <c r="D117" i="4" s="1"/>
  <c r="B118" i="4"/>
  <c r="D118" i="4" s="1"/>
  <c r="B119" i="4"/>
  <c r="D119" i="4" s="1"/>
  <c r="B120" i="4"/>
  <c r="D120" i="4" s="1"/>
  <c r="B121" i="4"/>
  <c r="D121" i="4" s="1"/>
  <c r="B123" i="4"/>
  <c r="D123" i="4" s="1"/>
  <c r="B124" i="4"/>
  <c r="D124" i="4" s="1"/>
  <c r="B125" i="4"/>
  <c r="D125" i="4" s="1"/>
  <c r="B126" i="4"/>
  <c r="D126" i="4" s="1"/>
  <c r="B127" i="4"/>
  <c r="D127" i="4" s="1"/>
  <c r="B128" i="4"/>
  <c r="D128" i="4" s="1"/>
  <c r="B129" i="4"/>
  <c r="D129" i="4" s="1"/>
  <c r="B131" i="4"/>
  <c r="D131" i="4" s="1"/>
  <c r="B132" i="4"/>
  <c r="D132" i="4" s="1"/>
  <c r="F132" i="4" s="1"/>
  <c r="G132" i="4" s="1"/>
  <c r="B133" i="4"/>
  <c r="D133" i="4" s="1"/>
  <c r="B134" i="4"/>
  <c r="D134" i="4" s="1"/>
  <c r="B135" i="4"/>
  <c r="D135" i="4" s="1"/>
  <c r="B136" i="4"/>
  <c r="D136" i="4" s="1"/>
  <c r="B137" i="4"/>
  <c r="D137" i="4" s="1"/>
  <c r="B139" i="4"/>
  <c r="D139" i="4" s="1"/>
  <c r="B140" i="4"/>
  <c r="D140" i="4" s="1"/>
  <c r="F140" i="4" s="1"/>
  <c r="G140" i="4" s="1"/>
  <c r="B141" i="4"/>
  <c r="D141" i="4" s="1"/>
  <c r="B142" i="4"/>
  <c r="D142" i="4" s="1"/>
  <c r="B143" i="4"/>
  <c r="D143" i="4" s="1"/>
  <c r="B144" i="4"/>
  <c r="D144" i="4" s="1"/>
  <c r="B145" i="4"/>
  <c r="D145" i="4" s="1"/>
  <c r="B147" i="4"/>
  <c r="D147" i="4" s="1"/>
  <c r="B148" i="4"/>
  <c r="D148" i="4" s="1"/>
  <c r="F148" i="4" s="1"/>
  <c r="G148" i="4" s="1"/>
  <c r="B149" i="4"/>
  <c r="D149" i="4" s="1"/>
  <c r="B150" i="4"/>
  <c r="D150" i="4" s="1"/>
  <c r="B151" i="4"/>
  <c r="D151" i="4" s="1"/>
  <c r="B152" i="4"/>
  <c r="D152" i="4" s="1"/>
  <c r="B153" i="4"/>
  <c r="D153" i="4" s="1"/>
  <c r="B155" i="4"/>
  <c r="D155" i="4" s="1"/>
  <c r="B156" i="4"/>
  <c r="D156" i="4" s="1"/>
  <c r="B157" i="4"/>
  <c r="D157" i="4" s="1"/>
  <c r="B158" i="4"/>
  <c r="D158" i="4" s="1"/>
  <c r="B159" i="4"/>
  <c r="D159" i="4" s="1"/>
  <c r="B160" i="4"/>
  <c r="D160" i="4" s="1"/>
  <c r="B161" i="4"/>
  <c r="D161" i="4" s="1"/>
  <c r="B163" i="4"/>
  <c r="D163" i="4" s="1"/>
  <c r="B164" i="4"/>
  <c r="D164" i="4" s="1"/>
  <c r="B165" i="4"/>
  <c r="D165" i="4" s="1"/>
  <c r="B166" i="4"/>
  <c r="D166" i="4" s="1"/>
  <c r="B167" i="4"/>
  <c r="D167" i="4" s="1"/>
  <c r="B168" i="4"/>
  <c r="D168" i="4" s="1"/>
  <c r="B169" i="4"/>
  <c r="D169" i="4" s="1"/>
  <c r="B171" i="4"/>
  <c r="D171" i="4" s="1"/>
  <c r="B172" i="4"/>
  <c r="D172" i="4" s="1"/>
  <c r="B173" i="4"/>
  <c r="D173" i="4" s="1"/>
  <c r="B174" i="4"/>
  <c r="D174" i="4" s="1"/>
  <c r="B175" i="4"/>
  <c r="D175" i="4" s="1"/>
  <c r="B176" i="4"/>
  <c r="D176" i="4" s="1"/>
  <c r="F176" i="4" s="1"/>
  <c r="G176" i="4" s="1"/>
  <c r="B177" i="4"/>
  <c r="D177" i="4" s="1"/>
  <c r="F177" i="4" s="1"/>
  <c r="G177" i="4" s="1"/>
  <c r="B179" i="4"/>
  <c r="D179" i="4" s="1"/>
  <c r="B180" i="4"/>
  <c r="D180" i="4" s="1"/>
  <c r="B181" i="4"/>
  <c r="D181" i="4" s="1"/>
  <c r="B182" i="4"/>
  <c r="D182" i="4" s="1"/>
  <c r="B183" i="4"/>
  <c r="D183" i="4" s="1"/>
  <c r="B184" i="4"/>
  <c r="D184" i="4" s="1"/>
  <c r="B185" i="4"/>
  <c r="D185" i="4" s="1"/>
  <c r="B187" i="4"/>
  <c r="D187" i="4" s="1"/>
  <c r="B188" i="4"/>
  <c r="D188" i="4" s="1"/>
  <c r="B189" i="4"/>
  <c r="D189" i="4" s="1"/>
  <c r="B190" i="4"/>
  <c r="D190" i="4" s="1"/>
  <c r="B191" i="4"/>
  <c r="D191" i="4" s="1"/>
  <c r="B192" i="4"/>
  <c r="D192" i="4" s="1"/>
  <c r="B193" i="4"/>
  <c r="D193" i="4" s="1"/>
  <c r="B195" i="4"/>
  <c r="D195" i="4" s="1"/>
  <c r="B196" i="4"/>
  <c r="D196" i="4" s="1"/>
  <c r="B197" i="4"/>
  <c r="D197" i="4" s="1"/>
  <c r="B198" i="4"/>
  <c r="D198" i="4" s="1"/>
  <c r="B199" i="4"/>
  <c r="D199" i="4" s="1"/>
  <c r="B200" i="4"/>
  <c r="D200" i="4" s="1"/>
  <c r="B201" i="4"/>
  <c r="D201" i="4" s="1"/>
  <c r="B203" i="4"/>
  <c r="D203" i="4" s="1"/>
  <c r="B204" i="4"/>
  <c r="D204" i="4" s="1"/>
  <c r="F204" i="4" s="1"/>
  <c r="G204" i="4" s="1"/>
  <c r="B205" i="4"/>
  <c r="D205" i="4" s="1"/>
  <c r="B206" i="4"/>
  <c r="D206" i="4" s="1"/>
  <c r="B2" i="4"/>
  <c r="D2" i="4" s="1"/>
  <c r="F164" i="4" l="1"/>
  <c r="G164" i="4" s="1"/>
  <c r="F155" i="4"/>
  <c r="G155" i="4" s="1"/>
  <c r="F161" i="4"/>
  <c r="G161" i="4" s="1"/>
  <c r="F116" i="4"/>
  <c r="G116" i="4" s="1"/>
  <c r="F52" i="4"/>
  <c r="G52" i="4" s="1"/>
  <c r="F33" i="4"/>
  <c r="G33" i="4" s="1"/>
  <c r="F171" i="4"/>
  <c r="G171" i="4" s="1"/>
  <c r="F169" i="4"/>
  <c r="G169" i="4" s="1"/>
  <c r="F124" i="4"/>
  <c r="G124" i="4" s="1"/>
  <c r="F60" i="4"/>
  <c r="G60" i="4" s="1"/>
  <c r="F41" i="4"/>
  <c r="G41" i="4" s="1"/>
  <c r="F172" i="4"/>
  <c r="G172" i="4" s="1"/>
  <c r="F196" i="4"/>
  <c r="G196" i="4" s="1"/>
  <c r="F68" i="4"/>
  <c r="G68" i="4" s="1"/>
  <c r="F184" i="4"/>
  <c r="G184" i="4" s="1"/>
  <c r="F120" i="4"/>
  <c r="G120" i="4" s="1"/>
  <c r="F84" i="4"/>
  <c r="G84" i="4" s="1"/>
  <c r="F56" i="4"/>
  <c r="G56" i="4" s="1"/>
  <c r="C127" i="4"/>
  <c r="E127" i="4" s="1"/>
  <c r="C198" i="4"/>
  <c r="E198" i="4" s="1"/>
  <c r="F198" i="4" s="1"/>
  <c r="G198" i="4" s="1"/>
  <c r="F192" i="4"/>
  <c r="G192" i="4" s="1"/>
  <c r="F64" i="4"/>
  <c r="G64" i="4" s="1"/>
  <c r="F72" i="4"/>
  <c r="G72" i="4" s="1"/>
  <c r="C133" i="4"/>
  <c r="E133" i="4" s="1"/>
  <c r="F133" i="4" s="1"/>
  <c r="G133" i="4" s="1"/>
  <c r="F156" i="4"/>
  <c r="G156" i="4" s="1"/>
  <c r="F128" i="4"/>
  <c r="G128" i="4" s="1"/>
  <c r="C182" i="4"/>
  <c r="E182" i="4" s="1"/>
  <c r="F200" i="4"/>
  <c r="G200" i="4" s="1"/>
  <c r="F8" i="4"/>
  <c r="G8" i="4" s="1"/>
  <c r="F144" i="4"/>
  <c r="G144" i="4" s="1"/>
  <c r="F80" i="4"/>
  <c r="G80" i="4" s="1"/>
  <c r="F16" i="4"/>
  <c r="G16" i="4" s="1"/>
  <c r="C100" i="4"/>
  <c r="E100" i="4" s="1"/>
  <c r="F100" i="4" s="1"/>
  <c r="G100" i="4" s="1"/>
  <c r="C44" i="4"/>
  <c r="E44" i="4" s="1"/>
  <c r="F44" i="4" s="1"/>
  <c r="G44" i="4" s="1"/>
  <c r="C4" i="4"/>
  <c r="E4" i="4" s="1"/>
  <c r="F136" i="4"/>
  <c r="G136" i="4" s="1"/>
  <c r="F180" i="4"/>
  <c r="G180" i="4" s="1"/>
  <c r="F152" i="4"/>
  <c r="G152" i="4" s="1"/>
  <c r="F88" i="4"/>
  <c r="G88" i="4" s="1"/>
  <c r="F24" i="4"/>
  <c r="G24" i="4" s="1"/>
  <c r="C11" i="4"/>
  <c r="E11" i="4" s="1"/>
  <c r="F11" i="4" s="1"/>
  <c r="G11" i="4" s="1"/>
  <c r="F160" i="4"/>
  <c r="G160" i="4" s="1"/>
  <c r="F105" i="4"/>
  <c r="G105" i="4" s="1"/>
  <c r="F32" i="4"/>
  <c r="G32" i="4" s="1"/>
  <c r="F188" i="4"/>
  <c r="G188" i="4" s="1"/>
  <c r="F96" i="4"/>
  <c r="G96" i="4" s="1"/>
  <c r="F168" i="4"/>
  <c r="G168" i="4" s="1"/>
  <c r="F104" i="4"/>
  <c r="G104" i="4" s="1"/>
  <c r="F49" i="4"/>
  <c r="G49" i="4" s="1"/>
  <c r="F40" i="4"/>
  <c r="G40" i="4" s="1"/>
  <c r="F4" i="4"/>
  <c r="G4" i="4" s="1"/>
  <c r="F190" i="4"/>
  <c r="G190" i="4" s="1"/>
  <c r="F163" i="4"/>
  <c r="G163" i="4" s="1"/>
  <c r="F126" i="4"/>
  <c r="G126" i="4" s="1"/>
  <c r="F99" i="4"/>
  <c r="G99" i="4" s="1"/>
  <c r="F35" i="4"/>
  <c r="G35" i="4" s="1"/>
  <c r="F115" i="4"/>
  <c r="G115" i="4" s="1"/>
  <c r="F51" i="4"/>
  <c r="G51" i="4" s="1"/>
  <c r="F187" i="4"/>
  <c r="G187" i="4" s="1"/>
  <c r="F123" i="4"/>
  <c r="G123" i="4" s="1"/>
  <c r="F179" i="4"/>
  <c r="G179" i="4" s="1"/>
  <c r="F59" i="4"/>
  <c r="G59" i="4" s="1"/>
  <c r="F195" i="4"/>
  <c r="G195" i="4" s="1"/>
  <c r="F131" i="4"/>
  <c r="G131" i="4" s="1"/>
  <c r="F67" i="4"/>
  <c r="G67" i="4" s="1"/>
  <c r="F3" i="4"/>
  <c r="G3" i="4" s="1"/>
  <c r="F203" i="4"/>
  <c r="G203" i="4" s="1"/>
  <c r="F139" i="4"/>
  <c r="G139" i="4" s="1"/>
  <c r="F75" i="4"/>
  <c r="G75" i="4" s="1"/>
  <c r="F147" i="4"/>
  <c r="G147" i="4" s="1"/>
  <c r="F83" i="4"/>
  <c r="G83" i="4" s="1"/>
  <c r="F19" i="4"/>
  <c r="G19" i="4" s="1"/>
  <c r="F194" i="4"/>
  <c r="G194" i="4" s="1"/>
  <c r="F178" i="4"/>
  <c r="G178" i="4" s="1"/>
  <c r="F98" i="4"/>
  <c r="G98" i="4" s="1"/>
  <c r="F66" i="4"/>
  <c r="G66" i="4" s="1"/>
  <c r="B202" i="4"/>
  <c r="D202" i="4" s="1"/>
  <c r="F202" i="4" s="1"/>
  <c r="G202" i="4" s="1"/>
  <c r="B186" i="4"/>
  <c r="D186" i="4" s="1"/>
  <c r="F186" i="4" s="1"/>
  <c r="G186" i="4" s="1"/>
  <c r="B170" i="4"/>
  <c r="D170" i="4" s="1"/>
  <c r="F170" i="4" s="1"/>
  <c r="G170" i="4" s="1"/>
  <c r="B162" i="4"/>
  <c r="D162" i="4" s="1"/>
  <c r="F162" i="4" s="1"/>
  <c r="G162" i="4" s="1"/>
  <c r="B154" i="4"/>
  <c r="D154" i="4" s="1"/>
  <c r="F154" i="4" s="1"/>
  <c r="G154" i="4" s="1"/>
  <c r="B146" i="4"/>
  <c r="D146" i="4" s="1"/>
  <c r="F146" i="4" s="1"/>
  <c r="G146" i="4" s="1"/>
  <c r="B138" i="4"/>
  <c r="D138" i="4" s="1"/>
  <c r="F138" i="4" s="1"/>
  <c r="G138" i="4" s="1"/>
  <c r="B130" i="4"/>
  <c r="D130" i="4" s="1"/>
  <c r="F130" i="4" s="1"/>
  <c r="G130" i="4" s="1"/>
  <c r="B122" i="4"/>
  <c r="D122" i="4" s="1"/>
  <c r="F122" i="4" s="1"/>
  <c r="G122" i="4" s="1"/>
  <c r="B114" i="4"/>
  <c r="D114" i="4" s="1"/>
  <c r="F114" i="4" s="1"/>
  <c r="G114" i="4" s="1"/>
  <c r="B106" i="4"/>
  <c r="D106" i="4" s="1"/>
  <c r="F106" i="4" s="1"/>
  <c r="G106" i="4" s="1"/>
  <c r="B90" i="4"/>
  <c r="D90" i="4" s="1"/>
  <c r="F90" i="4" s="1"/>
  <c r="G90" i="4" s="1"/>
  <c r="B82" i="4"/>
  <c r="D82" i="4" s="1"/>
  <c r="F82" i="4" s="1"/>
  <c r="G82" i="4" s="1"/>
  <c r="B74" i="4"/>
  <c r="D74" i="4" s="1"/>
  <c r="F74" i="4" s="1"/>
  <c r="G74" i="4" s="1"/>
  <c r="B58" i="4"/>
  <c r="D58" i="4" s="1"/>
  <c r="F58" i="4" s="1"/>
  <c r="G58" i="4" s="1"/>
  <c r="B50" i="4"/>
  <c r="D50" i="4" s="1"/>
  <c r="F50" i="4" s="1"/>
  <c r="G50" i="4" s="1"/>
  <c r="B42" i="4"/>
  <c r="D42" i="4" s="1"/>
  <c r="F42" i="4" s="1"/>
  <c r="G42" i="4" s="1"/>
  <c r="B34" i="4"/>
  <c r="D34" i="4" s="1"/>
  <c r="F34" i="4" s="1"/>
  <c r="G34" i="4" s="1"/>
  <c r="B26" i="4"/>
  <c r="D26" i="4" s="1"/>
  <c r="F26" i="4" s="1"/>
  <c r="G26" i="4" s="1"/>
  <c r="B18" i="4"/>
  <c r="D18" i="4" s="1"/>
  <c r="F18" i="4" s="1"/>
  <c r="G18" i="4" s="1"/>
  <c r="B10" i="4"/>
  <c r="D10" i="4" s="1"/>
  <c r="F10" i="4" s="1"/>
  <c r="G10" i="4" s="1"/>
  <c r="F206" i="4"/>
  <c r="G206" i="4" s="1"/>
  <c r="F182" i="4"/>
  <c r="G182" i="4" s="1"/>
  <c r="F174" i="4"/>
  <c r="G174" i="4" s="1"/>
  <c r="F166" i="4"/>
  <c r="G166" i="4" s="1"/>
  <c r="F158" i="4"/>
  <c r="G158" i="4" s="1"/>
  <c r="F150" i="4"/>
  <c r="G150" i="4" s="1"/>
  <c r="F142" i="4"/>
  <c r="G142" i="4" s="1"/>
  <c r="F134" i="4"/>
  <c r="G134" i="4" s="1"/>
  <c r="F118" i="4"/>
  <c r="G118" i="4" s="1"/>
  <c r="F110" i="4"/>
  <c r="G110" i="4" s="1"/>
  <c r="F102" i="4"/>
  <c r="G102" i="4" s="1"/>
  <c r="F94" i="4"/>
  <c r="G94" i="4" s="1"/>
  <c r="F86" i="4"/>
  <c r="G86" i="4" s="1"/>
  <c r="F78" i="4"/>
  <c r="G78" i="4" s="1"/>
  <c r="F70" i="4"/>
  <c r="G70" i="4" s="1"/>
  <c r="F62" i="4"/>
  <c r="G62" i="4" s="1"/>
  <c r="F54" i="4"/>
  <c r="G54" i="4" s="1"/>
  <c r="F46" i="4"/>
  <c r="G46" i="4" s="1"/>
  <c r="F38" i="4"/>
  <c r="G38" i="4" s="1"/>
  <c r="F30" i="4"/>
  <c r="G30" i="4" s="1"/>
  <c r="F22" i="4"/>
  <c r="G22" i="4" s="1"/>
  <c r="F14" i="4"/>
  <c r="G14" i="4" s="1"/>
  <c r="F6" i="4"/>
  <c r="G6" i="4" s="1"/>
  <c r="F199" i="4"/>
  <c r="G199" i="4" s="1"/>
  <c r="F183" i="4"/>
  <c r="G183" i="4" s="1"/>
  <c r="F167" i="4"/>
  <c r="G167" i="4" s="1"/>
  <c r="F159" i="4"/>
  <c r="G159" i="4" s="1"/>
  <c r="F151" i="4"/>
  <c r="G151" i="4" s="1"/>
  <c r="F143" i="4"/>
  <c r="G143" i="4" s="1"/>
  <c r="F135" i="4"/>
  <c r="G135" i="4" s="1"/>
  <c r="F127" i="4"/>
  <c r="G127" i="4" s="1"/>
  <c r="F119" i="4"/>
  <c r="G119" i="4" s="1"/>
  <c r="F111" i="4"/>
  <c r="G111" i="4" s="1"/>
  <c r="F103" i="4"/>
  <c r="G103" i="4" s="1"/>
  <c r="F95" i="4"/>
  <c r="G95" i="4" s="1"/>
  <c r="F87" i="4"/>
  <c r="G87" i="4" s="1"/>
  <c r="F79" i="4"/>
  <c r="G79" i="4" s="1"/>
  <c r="F71" i="4"/>
  <c r="G71" i="4" s="1"/>
  <c r="F63" i="4"/>
  <c r="G63" i="4" s="1"/>
  <c r="F55" i="4"/>
  <c r="G55" i="4" s="1"/>
  <c r="F47" i="4"/>
  <c r="G47" i="4" s="1"/>
  <c r="F39" i="4"/>
  <c r="G39" i="4" s="1"/>
  <c r="F31" i="4"/>
  <c r="G31" i="4" s="1"/>
  <c r="F23" i="4"/>
  <c r="G23" i="4" s="1"/>
  <c r="F15" i="4"/>
  <c r="G15" i="4" s="1"/>
  <c r="F7" i="4"/>
  <c r="G7" i="4" s="1"/>
  <c r="F153" i="4"/>
  <c r="G153" i="4" s="1"/>
  <c r="F89" i="4"/>
  <c r="G89" i="4" s="1"/>
  <c r="F25" i="4"/>
  <c r="G25" i="4" s="1"/>
  <c r="F191" i="4"/>
  <c r="G191" i="4" s="1"/>
  <c r="F175" i="4"/>
  <c r="G175" i="4" s="1"/>
  <c r="F145" i="4"/>
  <c r="G145" i="4" s="1"/>
  <c r="F81" i="4"/>
  <c r="G81" i="4" s="1"/>
  <c r="F17" i="4"/>
  <c r="G17" i="4" s="1"/>
  <c r="F197" i="4"/>
  <c r="G197" i="4" s="1"/>
  <c r="F189" i="4"/>
  <c r="G189" i="4" s="1"/>
  <c r="F181" i="4"/>
  <c r="G181" i="4" s="1"/>
  <c r="F173" i="4"/>
  <c r="G173" i="4" s="1"/>
  <c r="F165" i="4"/>
  <c r="G165" i="4" s="1"/>
  <c r="F157" i="4"/>
  <c r="G157" i="4" s="1"/>
  <c r="F149" i="4"/>
  <c r="G149" i="4" s="1"/>
  <c r="F141" i="4"/>
  <c r="G141" i="4" s="1"/>
  <c r="F125" i="4"/>
  <c r="G125" i="4" s="1"/>
  <c r="F117" i="4"/>
  <c r="G117" i="4" s="1"/>
  <c r="F109" i="4"/>
  <c r="G109" i="4" s="1"/>
  <c r="F101" i="4"/>
  <c r="G101" i="4" s="1"/>
  <c r="F93" i="4"/>
  <c r="G93" i="4" s="1"/>
  <c r="F85" i="4"/>
  <c r="G85" i="4" s="1"/>
  <c r="F77" i="4"/>
  <c r="G77" i="4" s="1"/>
  <c r="F69" i="4"/>
  <c r="G69" i="4" s="1"/>
  <c r="F61" i="4"/>
  <c r="G61" i="4" s="1"/>
  <c r="F53" i="4"/>
  <c r="G53" i="4" s="1"/>
  <c r="F45" i="4"/>
  <c r="G45" i="4" s="1"/>
  <c r="F37" i="4"/>
  <c r="G37" i="4" s="1"/>
  <c r="F29" i="4"/>
  <c r="G29" i="4" s="1"/>
  <c r="F21" i="4"/>
  <c r="G21" i="4" s="1"/>
  <c r="F13" i="4"/>
  <c r="G13" i="4" s="1"/>
  <c r="F5" i="4"/>
  <c r="G5" i="4" s="1"/>
  <c r="F201" i="4"/>
  <c r="G201" i="4" s="1"/>
  <c r="F137" i="4"/>
  <c r="G137" i="4" s="1"/>
  <c r="F73" i="4"/>
  <c r="G73" i="4" s="1"/>
  <c r="F9" i="4"/>
  <c r="G9" i="4" s="1"/>
  <c r="F205" i="4"/>
  <c r="G205" i="4" s="1"/>
  <c r="F193" i="4"/>
  <c r="G193" i="4" s="1"/>
  <c r="F129" i="4"/>
  <c r="G129" i="4" s="1"/>
  <c r="F65" i="4"/>
  <c r="G65" i="4" s="1"/>
  <c r="F185" i="4"/>
  <c r="G185" i="4" s="1"/>
  <c r="F121" i="4"/>
  <c r="G121" i="4" s="1"/>
  <c r="F57" i="4"/>
  <c r="G57" i="4" s="1"/>
  <c r="F2" i="4"/>
  <c r="G2" i="4" s="1"/>
  <c r="B53" i="3" l="1"/>
  <c r="B152" i="3"/>
  <c r="B206" i="3"/>
  <c r="B148" i="3"/>
  <c r="B205" i="3"/>
  <c r="B127" i="3"/>
  <c r="B204" i="3"/>
  <c r="B190" i="3"/>
  <c r="B203" i="3"/>
  <c r="B202" i="3"/>
  <c r="B201" i="3"/>
  <c r="B200" i="3"/>
  <c r="B199" i="3"/>
  <c r="B154" i="3"/>
  <c r="B198" i="3"/>
  <c r="B197" i="3"/>
  <c r="B189" i="3"/>
  <c r="B196" i="3"/>
  <c r="B195" i="3"/>
  <c r="B194" i="3"/>
  <c r="B118" i="3"/>
  <c r="B188" i="3"/>
  <c r="B187" i="3"/>
  <c r="B193" i="3"/>
  <c r="B175" i="3"/>
  <c r="B186" i="3"/>
  <c r="B174" i="3"/>
  <c r="B122" i="3"/>
  <c r="B192" i="3"/>
  <c r="B173" i="3"/>
  <c r="B185" i="3"/>
  <c r="B124" i="3"/>
  <c r="B153" i="3"/>
  <c r="B172" i="3"/>
  <c r="B184" i="3"/>
  <c r="B32" i="3"/>
  <c r="B183" i="3"/>
  <c r="B171" i="3"/>
  <c r="B182" i="3"/>
  <c r="B170" i="3"/>
  <c r="B191" i="3"/>
  <c r="B169" i="3"/>
  <c r="B161" i="3"/>
  <c r="B168" i="3"/>
  <c r="B160" i="3"/>
  <c r="B181" i="3"/>
  <c r="B22" i="3"/>
  <c r="B167" i="3"/>
  <c r="B166" i="3"/>
  <c r="B180" i="3"/>
  <c r="B179" i="3"/>
  <c r="B178" i="3"/>
  <c r="B163" i="3"/>
  <c r="B157" i="3"/>
  <c r="B162" i="3"/>
  <c r="B120" i="3"/>
  <c r="B177" i="3"/>
  <c r="B165" i="3"/>
  <c r="B159" i="3"/>
  <c r="B86" i="3"/>
  <c r="B115" i="3"/>
  <c r="B74" i="3"/>
  <c r="B126" i="3"/>
  <c r="B158" i="3"/>
  <c r="B70" i="3"/>
  <c r="B156" i="3"/>
  <c r="B145" i="3"/>
  <c r="B119" i="3"/>
  <c r="B69" i="3"/>
  <c r="B155" i="3"/>
  <c r="B164" i="3"/>
  <c r="B147" i="3"/>
  <c r="B79" i="3"/>
  <c r="B150" i="3"/>
  <c r="B90" i="3"/>
  <c r="B151" i="3"/>
  <c r="B144" i="3"/>
  <c r="B143" i="3"/>
  <c r="B149" i="3"/>
  <c r="B141" i="3"/>
  <c r="B98" i="3"/>
  <c r="B42" i="3"/>
  <c r="B87" i="3"/>
  <c r="B140" i="3"/>
  <c r="B134" i="3"/>
  <c r="B176" i="3"/>
  <c r="B65" i="3"/>
  <c r="B138" i="3"/>
  <c r="B93" i="3"/>
  <c r="B139" i="3"/>
  <c r="B136" i="3"/>
  <c r="B133" i="3"/>
  <c r="B83" i="3"/>
  <c r="B116" i="3"/>
  <c r="B31" i="3"/>
  <c r="B132" i="3"/>
  <c r="B125" i="3"/>
  <c r="B131" i="3"/>
  <c r="B142" i="3"/>
  <c r="B137" i="3"/>
  <c r="B36" i="3"/>
  <c r="B104" i="3"/>
  <c r="B130" i="3"/>
  <c r="B129" i="3"/>
  <c r="B112" i="3"/>
  <c r="B96" i="3"/>
  <c r="B128" i="3"/>
  <c r="B106" i="3"/>
  <c r="B135" i="3"/>
  <c r="B121" i="3"/>
  <c r="B123" i="3"/>
  <c r="B85" i="3"/>
  <c r="B117" i="3"/>
  <c r="B113" i="3"/>
  <c r="B109" i="3"/>
  <c r="B108" i="3"/>
  <c r="B29" i="3"/>
  <c r="B101" i="3"/>
  <c r="B76" i="3"/>
  <c r="B9" i="3"/>
  <c r="B107" i="3"/>
  <c r="B103" i="3"/>
  <c r="B105" i="3"/>
  <c r="B146" i="3"/>
  <c r="B110" i="3"/>
  <c r="B91" i="3"/>
  <c r="B24" i="3"/>
  <c r="B84" i="3"/>
  <c r="B92" i="3"/>
  <c r="B111" i="3"/>
  <c r="B97" i="3"/>
  <c r="B21" i="3"/>
  <c r="B95" i="3"/>
  <c r="B114" i="3"/>
  <c r="B80" i="3"/>
  <c r="B30" i="3"/>
  <c r="B99" i="3"/>
  <c r="B94" i="3"/>
  <c r="B28" i="3"/>
  <c r="B41" i="3"/>
  <c r="B35" i="3"/>
  <c r="B40" i="3"/>
  <c r="B39" i="3"/>
  <c r="B14" i="3"/>
  <c r="B61" i="3"/>
  <c r="B64" i="3"/>
  <c r="B78" i="3"/>
  <c r="B67" i="3"/>
  <c r="B63" i="3"/>
  <c r="B89" i="3"/>
  <c r="B33" i="3"/>
  <c r="B58" i="3"/>
  <c r="B57" i="3"/>
  <c r="B68" i="3"/>
  <c r="B47" i="3"/>
  <c r="B46" i="3"/>
  <c r="B38" i="3"/>
  <c r="B55" i="3"/>
  <c r="B50" i="3"/>
  <c r="B56" i="3"/>
  <c r="B54" i="3"/>
  <c r="B62" i="3"/>
  <c r="B34" i="3"/>
  <c r="B72" i="3"/>
  <c r="B102" i="3"/>
  <c r="B73" i="3"/>
  <c r="B45" i="3"/>
  <c r="B100" i="3"/>
  <c r="B25" i="3"/>
  <c r="B19" i="3"/>
  <c r="B44" i="3"/>
  <c r="B4" i="3"/>
  <c r="B60" i="3"/>
  <c r="B15" i="3"/>
  <c r="B71" i="3"/>
  <c r="B17" i="3"/>
  <c r="B59" i="3"/>
  <c r="B11" i="3"/>
  <c r="B27" i="3"/>
  <c r="B20" i="3"/>
  <c r="B77" i="3"/>
  <c r="B18" i="3"/>
  <c r="B26" i="3"/>
  <c r="B52" i="3"/>
  <c r="B7" i="3"/>
  <c r="B75" i="3"/>
  <c r="B23" i="3"/>
  <c r="B37" i="3"/>
  <c r="B5" i="3"/>
  <c r="B49" i="3"/>
  <c r="B51" i="3"/>
  <c r="B12" i="3"/>
  <c r="B6" i="3"/>
  <c r="B8" i="3"/>
  <c r="B43" i="3"/>
  <c r="B10" i="3"/>
  <c r="B13" i="3"/>
  <c r="B48" i="3"/>
  <c r="B82" i="3"/>
  <c r="B16" i="3"/>
  <c r="B2" i="3"/>
  <c r="C2" i="3" s="1"/>
  <c r="B88" i="3"/>
  <c r="B66" i="3"/>
  <c r="B81" i="3"/>
  <c r="B3" i="3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C2" i="2" s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  <c r="C3" i="3" l="1"/>
  <c r="C4" i="3" s="1"/>
  <c r="C3" i="2"/>
  <c r="C4" i="2" s="1"/>
  <c r="C5" i="2" s="1"/>
  <c r="C6" i="2" s="1"/>
  <c r="C5" i="3" l="1"/>
  <c r="C7" i="2"/>
  <c r="C6" i="3" l="1"/>
  <c r="C8" i="2"/>
  <c r="C7" i="3" l="1"/>
  <c r="C9" i="2"/>
  <c r="C8" i="3" l="1"/>
  <c r="C10" i="2"/>
  <c r="C9" i="3" l="1"/>
  <c r="C11" i="2"/>
  <c r="C10" i="3" l="1"/>
  <c r="C12" i="2"/>
  <c r="C11" i="3" l="1"/>
  <c r="C13" i="2"/>
  <c r="C12" i="3" l="1"/>
  <c r="C14" i="2"/>
  <c r="C13" i="3" l="1"/>
  <c r="C15" i="2"/>
  <c r="C14" i="3" l="1"/>
  <c r="C16" i="2"/>
  <c r="C15" i="3" l="1"/>
  <c r="C17" i="2"/>
  <c r="C16" i="3" l="1"/>
  <c r="C18" i="2"/>
  <c r="C17" i="3" l="1"/>
  <c r="C19" i="2"/>
  <c r="C18" i="3" l="1"/>
  <c r="C20" i="2"/>
  <c r="C19" i="3" l="1"/>
  <c r="C21" i="2"/>
  <c r="C20" i="3" l="1"/>
  <c r="C22" i="2"/>
  <c r="C21" i="3" l="1"/>
  <c r="C23" i="2"/>
  <c r="C22" i="3" l="1"/>
  <c r="C24" i="2"/>
  <c r="C23" i="3" l="1"/>
  <c r="C25" i="2"/>
  <c r="C24" i="3" l="1"/>
  <c r="C26" i="2"/>
  <c r="C25" i="3" l="1"/>
  <c r="C27" i="2"/>
  <c r="C26" i="3" l="1"/>
  <c r="C28" i="2"/>
  <c r="C27" i="3" l="1"/>
  <c r="C29" i="2"/>
  <c r="C28" i="3" l="1"/>
  <c r="C30" i="2"/>
  <c r="C29" i="3" l="1"/>
  <c r="C31" i="2"/>
  <c r="C30" i="3" l="1"/>
  <c r="C32" i="2"/>
  <c r="C31" i="3" l="1"/>
  <c r="C33" i="2"/>
  <c r="C32" i="3" l="1"/>
  <c r="C34" i="2"/>
  <c r="C33" i="3" l="1"/>
  <c r="C35" i="2"/>
  <c r="C34" i="3" l="1"/>
  <c r="C36" i="2"/>
  <c r="C35" i="3" l="1"/>
  <c r="C37" i="2"/>
  <c r="C36" i="3" l="1"/>
  <c r="C38" i="2"/>
  <c r="C37" i="3" l="1"/>
  <c r="C39" i="2"/>
  <c r="C38" i="3" l="1"/>
  <c r="C40" i="2"/>
  <c r="C39" i="3" l="1"/>
  <c r="C41" i="2"/>
  <c r="C40" i="3" l="1"/>
  <c r="C42" i="2"/>
  <c r="C41" i="3" l="1"/>
  <c r="C43" i="2"/>
  <c r="C42" i="3" l="1"/>
  <c r="C44" i="2"/>
  <c r="C43" i="3" l="1"/>
  <c r="C45" i="2"/>
  <c r="C44" i="3" l="1"/>
  <c r="C46" i="2"/>
  <c r="C45" i="3" l="1"/>
  <c r="C47" i="2"/>
  <c r="C46" i="3" l="1"/>
  <c r="C48" i="2"/>
  <c r="C47" i="3" l="1"/>
  <c r="C49" i="2"/>
  <c r="C48" i="3" l="1"/>
  <c r="C50" i="2"/>
  <c r="C49" i="3" l="1"/>
  <c r="C51" i="2"/>
  <c r="C50" i="3" l="1"/>
  <c r="C52" i="2"/>
  <c r="C51" i="3" l="1"/>
  <c r="C53" i="2"/>
  <c r="C52" i="3" l="1"/>
  <c r="C54" i="2"/>
  <c r="C53" i="3" l="1"/>
  <c r="C55" i="2"/>
  <c r="C54" i="3" l="1"/>
  <c r="C56" i="2"/>
  <c r="C55" i="3" l="1"/>
  <c r="C57" i="2"/>
  <c r="C56" i="3" l="1"/>
  <c r="C58" i="2"/>
  <c r="C57" i="3" l="1"/>
  <c r="C59" i="2"/>
  <c r="C58" i="3" l="1"/>
  <c r="C60" i="2"/>
  <c r="C59" i="3" l="1"/>
  <c r="C61" i="2"/>
  <c r="C60" i="3" l="1"/>
  <c r="C62" i="2"/>
  <c r="C61" i="3" l="1"/>
  <c r="C63" i="2"/>
  <c r="C62" i="3" l="1"/>
  <c r="C64" i="2"/>
  <c r="C63" i="3" l="1"/>
  <c r="C65" i="2"/>
  <c r="C64" i="3" l="1"/>
  <c r="C66" i="2"/>
  <c r="C65" i="3" l="1"/>
  <c r="C67" i="2"/>
  <c r="C66" i="3" l="1"/>
  <c r="C68" i="2"/>
  <c r="C67" i="3" l="1"/>
  <c r="C69" i="2"/>
  <c r="C68" i="3" l="1"/>
  <c r="C70" i="2"/>
  <c r="C69" i="3" l="1"/>
  <c r="C71" i="2"/>
  <c r="C70" i="3" l="1"/>
  <c r="C72" i="2"/>
  <c r="C71" i="3" l="1"/>
  <c r="C73" i="2"/>
  <c r="C72" i="3" l="1"/>
  <c r="C74" i="2"/>
  <c r="C73" i="3" l="1"/>
  <c r="C75" i="2"/>
  <c r="C74" i="3" l="1"/>
  <c r="C76" i="2"/>
  <c r="C75" i="3" l="1"/>
  <c r="C77" i="2"/>
  <c r="C76" i="3" l="1"/>
  <c r="C78" i="2"/>
  <c r="C77" i="3" l="1"/>
  <c r="C79" i="2"/>
  <c r="C78" i="3" l="1"/>
  <c r="C80" i="2"/>
  <c r="C79" i="3" l="1"/>
  <c r="C81" i="2"/>
  <c r="C80" i="3" l="1"/>
  <c r="C82" i="2"/>
  <c r="C81" i="3" l="1"/>
  <c r="C83" i="2"/>
  <c r="C82" i="3" l="1"/>
  <c r="C84" i="2"/>
  <c r="C83" i="3" l="1"/>
  <c r="C85" i="2"/>
  <c r="C84" i="3" l="1"/>
  <c r="C86" i="2"/>
  <c r="C85" i="3" l="1"/>
  <c r="C87" i="2"/>
  <c r="C86" i="3" l="1"/>
  <c r="C88" i="2"/>
  <c r="C87" i="3" l="1"/>
  <c r="C89" i="2"/>
  <c r="C88" i="3" l="1"/>
  <c r="C90" i="2"/>
  <c r="C89" i="3" l="1"/>
  <c r="C91" i="2"/>
  <c r="C90" i="3" l="1"/>
  <c r="C92" i="2"/>
  <c r="C91" i="3" l="1"/>
  <c r="C93" i="2"/>
  <c r="C92" i="3" l="1"/>
  <c r="C94" i="2"/>
  <c r="C93" i="3" l="1"/>
  <c r="C95" i="2"/>
  <c r="C94" i="3" l="1"/>
  <c r="C96" i="2"/>
  <c r="C95" i="3" l="1"/>
  <c r="C97" i="2"/>
  <c r="C96" i="3" l="1"/>
  <c r="C98" i="2"/>
  <c r="C97" i="3" l="1"/>
  <c r="C99" i="2"/>
  <c r="C98" i="3" l="1"/>
  <c r="C100" i="2"/>
  <c r="C99" i="3" l="1"/>
  <c r="C101" i="2"/>
  <c r="C100" i="3" l="1"/>
  <c r="C102" i="2"/>
  <c r="C101" i="3" l="1"/>
  <c r="C103" i="2"/>
  <c r="C102" i="3" l="1"/>
  <c r="C104" i="2"/>
  <c r="C103" i="3" l="1"/>
  <c r="C105" i="2"/>
  <c r="C104" i="3" l="1"/>
  <c r="C106" i="2"/>
  <c r="C105" i="3" l="1"/>
  <c r="C107" i="2"/>
  <c r="C106" i="3" l="1"/>
  <c r="C108" i="2"/>
  <c r="C107" i="3" l="1"/>
  <c r="C109" i="2"/>
  <c r="C108" i="3" l="1"/>
  <c r="C110" i="2"/>
  <c r="C109" i="3" l="1"/>
  <c r="C111" i="2"/>
  <c r="C110" i="3" l="1"/>
  <c r="C112" i="2"/>
  <c r="C111" i="3" l="1"/>
  <c r="C113" i="2"/>
  <c r="C112" i="3" l="1"/>
  <c r="C114" i="2"/>
  <c r="C113" i="3" l="1"/>
  <c r="C115" i="2"/>
  <c r="C114" i="3" l="1"/>
  <c r="C116" i="2"/>
  <c r="C115" i="3" l="1"/>
  <c r="C117" i="2"/>
  <c r="C116" i="3" l="1"/>
  <c r="C118" i="2"/>
  <c r="C117" i="3" l="1"/>
  <c r="C119" i="2"/>
  <c r="C118" i="3" l="1"/>
  <c r="C120" i="2"/>
  <c r="C119" i="3" l="1"/>
  <c r="C121" i="2"/>
  <c r="C120" i="3" l="1"/>
  <c r="C122" i="2"/>
  <c r="C121" i="3" l="1"/>
  <c r="C123" i="2"/>
  <c r="C122" i="3" l="1"/>
  <c r="C124" i="2"/>
  <c r="C123" i="3" l="1"/>
  <c r="C125" i="2"/>
  <c r="C124" i="3" l="1"/>
  <c r="C126" i="2"/>
  <c r="C125" i="3" l="1"/>
  <c r="C127" i="2"/>
  <c r="C126" i="3" l="1"/>
  <c r="C128" i="2"/>
  <c r="C127" i="3" l="1"/>
  <c r="C129" i="2"/>
  <c r="C128" i="3" l="1"/>
  <c r="C130" i="2"/>
  <c r="C129" i="3" l="1"/>
  <c r="C131" i="2"/>
  <c r="C130" i="3" l="1"/>
  <c r="C132" i="2"/>
  <c r="C131" i="3" l="1"/>
  <c r="C133" i="2"/>
  <c r="C132" i="3" l="1"/>
  <c r="C134" i="2"/>
  <c r="C133" i="3" l="1"/>
  <c r="C135" i="2"/>
  <c r="C134" i="3" l="1"/>
  <c r="C136" i="2"/>
  <c r="C135" i="3" l="1"/>
  <c r="C137" i="2"/>
  <c r="C136" i="3" l="1"/>
  <c r="C138" i="2"/>
  <c r="C137" i="3" l="1"/>
  <c r="C139" i="2"/>
  <c r="C138" i="3" l="1"/>
  <c r="C140" i="2"/>
  <c r="C139" i="3" l="1"/>
  <c r="C141" i="2"/>
  <c r="C140" i="3" l="1"/>
  <c r="C142" i="2"/>
  <c r="C141" i="3" l="1"/>
  <c r="C143" i="2"/>
  <c r="C142" i="3" l="1"/>
  <c r="C144" i="2"/>
  <c r="C143" i="3" l="1"/>
  <c r="C145" i="2"/>
  <c r="C144" i="3" l="1"/>
  <c r="C146" i="2"/>
  <c r="C145" i="3" l="1"/>
  <c r="C147" i="2"/>
  <c r="C146" i="3" l="1"/>
  <c r="C148" i="2"/>
  <c r="C147" i="3" l="1"/>
  <c r="C149" i="2"/>
  <c r="C148" i="3" l="1"/>
  <c r="C150" i="2"/>
  <c r="C149" i="3" l="1"/>
  <c r="C151" i="2"/>
  <c r="C150" i="3" l="1"/>
  <c r="C152" i="2"/>
  <c r="C151" i="3" l="1"/>
  <c r="C153" i="2"/>
  <c r="C152" i="3" l="1"/>
  <c r="C154" i="2"/>
  <c r="C153" i="3" l="1"/>
  <c r="C155" i="2"/>
  <c r="C154" i="3" l="1"/>
  <c r="C156" i="2"/>
  <c r="C155" i="3" l="1"/>
  <c r="C157" i="2"/>
  <c r="C156" i="3" l="1"/>
  <c r="C158" i="2"/>
  <c r="C157" i="3" l="1"/>
  <c r="C159" i="2"/>
  <c r="C158" i="3" l="1"/>
  <c r="C160" i="2"/>
  <c r="C159" i="3" l="1"/>
  <c r="C161" i="2"/>
  <c r="C160" i="3" l="1"/>
  <c r="C162" i="2"/>
  <c r="C161" i="3" l="1"/>
  <c r="C163" i="2"/>
  <c r="C162" i="3" l="1"/>
  <c r="C164" i="2"/>
  <c r="C163" i="3" l="1"/>
  <c r="C165" i="2"/>
  <c r="C164" i="3" l="1"/>
  <c r="C166" i="2"/>
  <c r="C165" i="3" l="1"/>
  <c r="C167" i="2"/>
  <c r="C166" i="3" l="1"/>
  <c r="C168" i="2"/>
  <c r="C167" i="3" l="1"/>
  <c r="C169" i="2"/>
  <c r="C168" i="3" l="1"/>
  <c r="C170" i="2"/>
  <c r="C169" i="3" l="1"/>
  <c r="C171" i="2"/>
  <c r="C170" i="3" l="1"/>
  <c r="C172" i="2"/>
  <c r="C171" i="3" l="1"/>
  <c r="C173" i="2"/>
  <c r="C172" i="3" l="1"/>
  <c r="C174" i="2"/>
  <c r="C173" i="3" l="1"/>
  <c r="C175" i="2"/>
  <c r="C174" i="3" l="1"/>
  <c r="C176" i="2"/>
  <c r="C175" i="3" l="1"/>
  <c r="C177" i="2"/>
  <c r="C176" i="3" l="1"/>
  <c r="C178" i="2"/>
  <c r="C177" i="3" l="1"/>
  <c r="C179" i="2"/>
  <c r="C178" i="3" l="1"/>
  <c r="C180" i="2"/>
  <c r="C179" i="3" l="1"/>
  <c r="C181" i="2"/>
  <c r="C180" i="3" l="1"/>
  <c r="C182" i="2"/>
  <c r="C181" i="3" l="1"/>
  <c r="C183" i="2"/>
  <c r="C182" i="3" l="1"/>
  <c r="C184" i="2"/>
  <c r="C183" i="3" l="1"/>
  <c r="C185" i="2"/>
  <c r="C184" i="3" l="1"/>
  <c r="C186" i="2"/>
  <c r="C185" i="3" l="1"/>
  <c r="C187" i="2"/>
  <c r="C186" i="3" l="1"/>
  <c r="C188" i="2"/>
  <c r="C187" i="3" l="1"/>
  <c r="C189" i="2"/>
  <c r="C188" i="3" l="1"/>
  <c r="C190" i="2"/>
  <c r="C189" i="3" l="1"/>
  <c r="C191" i="2"/>
  <c r="C190" i="3" l="1"/>
  <c r="C192" i="2"/>
  <c r="C191" i="3" l="1"/>
  <c r="C193" i="2"/>
  <c r="C192" i="3" l="1"/>
  <c r="C194" i="2"/>
  <c r="C193" i="3" l="1"/>
  <c r="C195" i="2"/>
  <c r="C194" i="3" l="1"/>
  <c r="C196" i="2"/>
  <c r="C195" i="3" l="1"/>
  <c r="C197" i="2"/>
  <c r="C196" i="3" l="1"/>
  <c r="C198" i="2"/>
  <c r="C197" i="3" l="1"/>
  <c r="C199" i="2"/>
  <c r="C198" i="3" l="1"/>
  <c r="C200" i="2"/>
  <c r="C199" i="3" l="1"/>
  <c r="C201" i="2"/>
  <c r="C200" i="3" l="1"/>
  <c r="C202" i="2"/>
  <c r="C201" i="3" l="1"/>
  <c r="C203" i="2"/>
  <c r="C202" i="3" l="1"/>
  <c r="C204" i="2"/>
  <c r="C203" i="3" l="1"/>
  <c r="C205" i="2"/>
  <c r="C204" i="3" l="1"/>
  <c r="C206" i="2"/>
  <c r="D205" i="2" s="1"/>
  <c r="C205" i="3" l="1"/>
  <c r="D206" i="2"/>
  <c r="D2" i="2"/>
  <c r="D3" i="2"/>
  <c r="D5" i="2"/>
  <c r="D4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C206" i="3" l="1"/>
  <c r="D205" i="3" s="1"/>
  <c r="D206" i="3" l="1"/>
  <c r="D2" i="3"/>
  <c r="D4" i="3"/>
  <c r="D3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</calcChain>
</file>

<file path=xl/sharedStrings.xml><?xml version="1.0" encoding="utf-8"?>
<sst xmlns="http://schemas.openxmlformats.org/spreadsheetml/2006/main" count="757" uniqueCount="273">
  <si>
    <t>Item Number</t>
  </si>
  <si>
    <t>Item Name</t>
  </si>
  <si>
    <t>UoM</t>
  </si>
  <si>
    <t>Hits</t>
  </si>
  <si>
    <t>Ipad</t>
  </si>
  <si>
    <t xml:space="preserve">EA </t>
  </si>
  <si>
    <t>Speaker-Bose</t>
  </si>
  <si>
    <t>Dell Studio 17</t>
  </si>
  <si>
    <t>Dell Studio 15</t>
  </si>
  <si>
    <t>Iphone4</t>
  </si>
  <si>
    <t>Channel Home Theatre System</t>
  </si>
  <si>
    <t>Camera- Canon 7D</t>
  </si>
  <si>
    <t>Profile LP USB Turntable</t>
  </si>
  <si>
    <t>UPS</t>
  </si>
  <si>
    <t>SOG Outdoor Gear</t>
  </si>
  <si>
    <t>Toothbrush Sanitizer</t>
  </si>
  <si>
    <t xml:space="preserve">Silver Edition Buckyballs </t>
  </si>
  <si>
    <t>Uniden 4-Handset Phone</t>
  </si>
  <si>
    <t>VoIP Home Phone System</t>
  </si>
  <si>
    <t>XtremeMac InCharge Travel Kit</t>
  </si>
  <si>
    <t>XP600 Battery Pack</t>
  </si>
  <si>
    <t>Serengeti 160 Lumen Cree LED Flashlight</t>
  </si>
  <si>
    <t>Xbox</t>
  </si>
  <si>
    <t>TeknoCreations Charging Station</t>
  </si>
  <si>
    <t>Samsung 14.2MP Ultra Slim Digital Camera</t>
  </si>
  <si>
    <t>Screaming Monkey with Woot Cape</t>
  </si>
  <si>
    <t>VuPoint 4x6 Digital Photo Scanner</t>
  </si>
  <si>
    <t>Trivet - 2 Pack</t>
  </si>
  <si>
    <t>Sony Pix</t>
  </si>
  <si>
    <t>VuPoint 35mm Slide &amp; Negative Film Convert</t>
  </si>
  <si>
    <t>Screaming Giant Monkey with Black Woot Cape</t>
  </si>
  <si>
    <t>Westinghouse Ultra-slim 42” 1080p</t>
  </si>
  <si>
    <t>Skil 22-Piece Dual-Sided Socket Set</t>
  </si>
  <si>
    <t>Watt Supreme Garment Steamer</t>
  </si>
  <si>
    <t>Vizio 32” 720p LCD HDTV</t>
  </si>
  <si>
    <t>Canon Rebel T1i</t>
  </si>
  <si>
    <t>Sandisk 4GB Sansa Clip</t>
  </si>
  <si>
    <t>USB Flashing Police Lights</t>
  </si>
  <si>
    <t>Iphone3</t>
  </si>
  <si>
    <t>Samsung Bluetooth Headset</t>
  </si>
  <si>
    <t>Smartparts 8” Digital Picture Frame</t>
  </si>
  <si>
    <t>SOG Multi-Tool Powerlock EOD</t>
  </si>
  <si>
    <t>Canon Rebel T2i</t>
  </si>
  <si>
    <t>Franklin Covey Leather Steno Pad Holder</t>
  </si>
  <si>
    <t>Wagner Power Painter</t>
  </si>
  <si>
    <t>Sprinkler with Metal Spike</t>
  </si>
  <si>
    <t>Skil 7” Laser Level</t>
  </si>
  <si>
    <t>Voice Alert Cooking Thermometer</t>
  </si>
  <si>
    <t>Vizio 37” 1080p LCD HDTV</t>
  </si>
  <si>
    <t>Violight Sonic Ion Toothbrush</t>
  </si>
  <si>
    <t>Shot Hard Surface Cleaner</t>
  </si>
  <si>
    <t>Spikebuster</t>
  </si>
  <si>
    <t>Sunpak Platinum Plus Tripod</t>
  </si>
  <si>
    <t>Sunpak Flex Pod Pro Plus</t>
  </si>
  <si>
    <t>Rightway 3.5” GPS</t>
  </si>
  <si>
    <t>Upright Ball Vacuum</t>
  </si>
  <si>
    <t>Skil Tool Set</t>
  </si>
  <si>
    <t>Casio Exilim 14.1MP Digital Camera</t>
  </si>
  <si>
    <t>Skil 85pc Home Theatre Stubby Tool Set</t>
  </si>
  <si>
    <t>Wood Mantel and Table Clock</t>
  </si>
  <si>
    <t>Speed HDMI Cable by PPC</t>
  </si>
  <si>
    <t>T-Driver Set</t>
  </si>
  <si>
    <t xml:space="preserve">Sunpak Carbon Fiber Tripod </t>
  </si>
  <si>
    <t>SwiftSmart Computerized Sewing Machine</t>
  </si>
  <si>
    <t xml:space="preserve">TrueFire Gourmet Cedar Wraps </t>
  </si>
  <si>
    <t>RCA 26” LCD HDTV</t>
  </si>
  <si>
    <t>Plus 61” Deluxe Tripod</t>
  </si>
  <si>
    <t>SLR Nikkon 3000S</t>
  </si>
  <si>
    <t>Polaroid 14MP Digital Camera</t>
  </si>
  <si>
    <t>Polaroid HD USB Digital Camcorder</t>
  </si>
  <si>
    <t>Queen Size Memory Foam Mattress</t>
  </si>
  <si>
    <t>Sunbeam Heated Fleece Throw</t>
  </si>
  <si>
    <t>Vupoint Film &amp; Slide Converter – XP</t>
  </si>
  <si>
    <t>Processor Intel-I3</t>
  </si>
  <si>
    <t>RAM</t>
  </si>
  <si>
    <t>40” 1080p LCD HDTV</t>
  </si>
  <si>
    <t>Supreme Garment Steamer</t>
  </si>
  <si>
    <t>Samsung Tab</t>
  </si>
  <si>
    <t>SyncMaster 24” LCD Monitor</t>
  </si>
  <si>
    <t xml:space="preserve">NeatDesk Desktop Scanner </t>
  </si>
  <si>
    <t>Ratcheting Screwdriver</t>
  </si>
  <si>
    <t>Casio Exilim 12.1MP Digital Camera</t>
  </si>
  <si>
    <t>Connected Blu-ray Player</t>
  </si>
  <si>
    <t>Presorvac 5 Cycle Marinater</t>
  </si>
  <si>
    <t>Dual-Sided Socket Set</t>
  </si>
  <si>
    <t>1080p LCD HDTV</t>
  </si>
  <si>
    <t>Flip SlideHD 16GB Video Camera</t>
  </si>
  <si>
    <t>Ethernetcard</t>
  </si>
  <si>
    <t>Cisco Voip Router</t>
  </si>
  <si>
    <t>Class 10 SDHC Card</t>
  </si>
  <si>
    <t>Dual-Sided Palm Ratchet</t>
  </si>
  <si>
    <t>Centon 32GB Class 10 SDHC Card</t>
  </si>
  <si>
    <t>First Act 5-Pad Digital Drum Set</t>
  </si>
  <si>
    <t>Eco Club EZ-Shopper – Apricot</t>
  </si>
  <si>
    <t>One-Touch Photo Scanner</t>
  </si>
  <si>
    <t>Asus 8.9” Tablet Convertible PC</t>
  </si>
  <si>
    <t>Buckyballs 216 Piece Magnetic Set</t>
  </si>
  <si>
    <t>Musicplayer</t>
  </si>
  <si>
    <t>Multi-Purpose Tool Set</t>
  </si>
  <si>
    <t>Multimedia Keyboard and Mouse</t>
  </si>
  <si>
    <t>Ear Headphones - 2 Pack</t>
  </si>
  <si>
    <t>Optoma PK102 Pico Pocket Projector</t>
  </si>
  <si>
    <t>Bridge Battle Habitat Set</t>
  </si>
  <si>
    <t>Apple iPod Nano 8GB</t>
  </si>
  <si>
    <t>Maximo Data &amp; Charging Cable</t>
  </si>
  <si>
    <t>Lens 55-250</t>
  </si>
  <si>
    <t>Deluxe Auto Safety Kit</t>
  </si>
  <si>
    <t>Colgate Wisp Toothbrush – 48 Pack</t>
  </si>
  <si>
    <t>Multi Tool Driver Set</t>
  </si>
  <si>
    <t>Motherboard- Asus</t>
  </si>
  <si>
    <t>Philips Portable DVD player</t>
  </si>
  <si>
    <t>Optoma HD 1080p Home Theater Projector</t>
  </si>
  <si>
    <t>Intec Wii Wave Remote Controller</t>
  </si>
  <si>
    <t>Compactdisk</t>
  </si>
  <si>
    <t>Euro-Pro Ninja Master Drink Maker</t>
  </si>
  <si>
    <t>Curtis 24” 1080p LCD HDTV</t>
  </si>
  <si>
    <t>Ikon Diecast Blender</t>
  </si>
  <si>
    <t>37” 1080p LCD HDTV</t>
  </si>
  <si>
    <t>Monitor-Acer</t>
  </si>
  <si>
    <t>Digital Photo Ornament</t>
  </si>
  <si>
    <t>ntec G5700 Wii Wave Motion Sensing Controller</t>
  </si>
  <si>
    <t>Digital Camcorder Kit with 4GB SD Card</t>
  </si>
  <si>
    <t>Mac Pro</t>
  </si>
  <si>
    <t>LeakFrog Water Leak Alarm 2-Pack</t>
  </si>
  <si>
    <t>Philips 6-Device Universal Remote for iPod</t>
  </si>
  <si>
    <t>Cables to Go iPod Compatible Travel Kit</t>
  </si>
  <si>
    <t>Coleman LED Axis Headlamp Bundle</t>
  </si>
  <si>
    <t>Digital Camera</t>
  </si>
  <si>
    <t>1/4” Mini Ratchet</t>
  </si>
  <si>
    <t>Philips Fidelio Docking Speakers for iPad</t>
  </si>
  <si>
    <t>Iron Gym with Ab Straps</t>
  </si>
  <si>
    <t>iRhythm iPod Docking Speaker</t>
  </si>
  <si>
    <t>Kanen In-Ear Earbuds</t>
  </si>
  <si>
    <t>Dash Personal Internet Viewer</t>
  </si>
  <si>
    <t>Panasonic Speakers</t>
  </si>
  <si>
    <t>Carcharias Gaming Headset</t>
  </si>
  <si>
    <t>Optoma PK301 Pico Projector</t>
  </si>
  <si>
    <t>Mac Air</t>
  </si>
  <si>
    <t>Joystick</t>
  </si>
  <si>
    <t>Criss Angel Street Magic Bundle</t>
  </si>
  <si>
    <t>6-Outlet Surge Protector</t>
  </si>
  <si>
    <t>12 Outlet Surge Protector</t>
  </si>
  <si>
    <t>Intel Dual Core Notebook</t>
  </si>
  <si>
    <t>Belkin n52te Tournament Edition SpeedPad</t>
  </si>
  <si>
    <t>Isotoner Ladies Suede Gloves</t>
  </si>
  <si>
    <t>Aqua Globes Medium 2-Pack</t>
  </si>
  <si>
    <t>Digital Video Converter</t>
  </si>
  <si>
    <t>3-Watt Cree LED Aluminum Flashlight</t>
  </si>
  <si>
    <t>AT&amp;T 4-Handset Cordless Phone</t>
  </si>
  <si>
    <t>HP Pavilion Quad Core</t>
  </si>
  <si>
    <t>HP Pavilion Quad Core Desktop</t>
  </si>
  <si>
    <t>HP Pavilion Quad Core Desktop PC</t>
  </si>
  <si>
    <t>Aqua Globe 5 Pack</t>
  </si>
  <si>
    <t>Harbinger Sporting Gloves</t>
  </si>
  <si>
    <t>Isolation Stereo Earphones</t>
  </si>
  <si>
    <t>Hype USB Tape to MP3 Converter</t>
  </si>
  <si>
    <t>Lens telephoto</t>
  </si>
  <si>
    <t>Headphone</t>
  </si>
  <si>
    <t>Philips Portable Speaker System</t>
  </si>
  <si>
    <t>Memorex 12' High Speed HDMI Cable</t>
  </si>
  <si>
    <t>Pioneer Home Theater DVD Speaker</t>
  </si>
  <si>
    <t>Centon DataStick Pro 32GB USB Flash Drive</t>
  </si>
  <si>
    <t>Kodak 12 Megapixel Digital Camera</t>
  </si>
  <si>
    <t>Orka V-Blade Mandoline</t>
  </si>
  <si>
    <t>Keyboard</t>
  </si>
  <si>
    <t xml:space="preserve">RL </t>
  </si>
  <si>
    <t>Philips Foldable HDMI Adapter w/24k Gold Plating</t>
  </si>
  <si>
    <t>M-Audio KeyStudio 25 Keyboard</t>
  </si>
  <si>
    <t>Philips Home Theater</t>
  </si>
  <si>
    <t>HP Pavilion Elite Quad Core Desktop</t>
  </si>
  <si>
    <t>Memorex Wi-Fi Connected Blu-ray Player</t>
  </si>
  <si>
    <t>Logitech CordlessWave Keyboard &amp; Mouse Combo</t>
  </si>
  <si>
    <t>Matsunichi 8" Digital Photo Frame</t>
  </si>
  <si>
    <t>chumby one: Smart Internet Companion</t>
  </si>
  <si>
    <t>Pico Projector</t>
  </si>
  <si>
    <t>M-Audio Torq Mixlab</t>
  </si>
  <si>
    <t>250GB Hard Drive for Xbox 360</t>
  </si>
  <si>
    <t>Aqua Globe Mini Globes – 3 Pack</t>
  </si>
  <si>
    <t>Jolly Roger Door Mat</t>
  </si>
  <si>
    <t>HD DLP Projector</t>
  </si>
  <si>
    <t>IBM think pad</t>
  </si>
  <si>
    <t>4-Port USB Hub</t>
  </si>
  <si>
    <t>MEElectronics In-Ear Earbuds</t>
  </si>
  <si>
    <t>Midland X-tra Talk 20 Mile GMRS Radio</t>
  </si>
  <si>
    <t>Harddisk</t>
  </si>
  <si>
    <t>HP Pavilion 17.3” Entertainment Laptop</t>
  </si>
  <si>
    <t>Philips Pro Series 4' HDMI Cable</t>
  </si>
  <si>
    <t>Home Theatre Install Kit</t>
  </si>
  <si>
    <t>Aerodynamic Storm Umbrella</t>
  </si>
  <si>
    <t>Headphone Value Pack</t>
  </si>
  <si>
    <t>Memorex Wi-Fi Connected</t>
  </si>
  <si>
    <t>Pioneer Dual iPod Dock Speaker System</t>
  </si>
  <si>
    <t>Kodak ZX1 Pocket Video 720p Camcorder</t>
  </si>
  <si>
    <t>Isotoner Men’s Gloves</t>
  </si>
  <si>
    <t>Hitachi SimpleNet Network USB</t>
  </si>
  <si>
    <t>3-LED Push Light – 3 Pack</t>
  </si>
  <si>
    <t>Memorex 6-foot HDMI Cable</t>
  </si>
  <si>
    <t>Lens 18-55</t>
  </si>
  <si>
    <t>Philips Portable DVD player with 9” LCD Screen</t>
  </si>
  <si>
    <t>Lumix 14.1 MP Digital Camera</t>
  </si>
  <si>
    <t>M-Audio Studiophile Speakers</t>
  </si>
  <si>
    <t>Microchip</t>
  </si>
  <si>
    <t>M-Audio AV30 Studiophile Speakers</t>
  </si>
  <si>
    <t>2011 Woot! Calendar</t>
  </si>
  <si>
    <t>HP TouchSmart 23” All-In-One PC</t>
  </si>
  <si>
    <t>1080p Upconverting DVD Player</t>
  </si>
  <si>
    <t>iHome Netbook Accessory Kit</t>
  </si>
  <si>
    <t>12-in-1 Knife by SOG</t>
  </si>
  <si>
    <t>Sales ($)</t>
  </si>
  <si>
    <t>% of Sales</t>
  </si>
  <si>
    <t>Rank</t>
  </si>
  <si>
    <t>% of Hits</t>
  </si>
  <si>
    <t>A</t>
  </si>
  <si>
    <t>B</t>
  </si>
  <si>
    <t>C</t>
  </si>
  <si>
    <t>D</t>
  </si>
  <si>
    <t>N/A</t>
  </si>
  <si>
    <t>Safety Stock Levels</t>
  </si>
  <si>
    <t>95-98%</t>
  </si>
  <si>
    <t>85-90%</t>
  </si>
  <si>
    <t>70-80%</t>
  </si>
  <si>
    <t>high CSL level</t>
  </si>
  <si>
    <t>medium CSL level</t>
  </si>
  <si>
    <t>low CSL level</t>
  </si>
  <si>
    <t>donate, destroy, discount</t>
  </si>
  <si>
    <t>ABCD Method For Digital Consumer Electronics</t>
  </si>
  <si>
    <t>Service Level</t>
  </si>
  <si>
    <t>97-99%</t>
  </si>
  <si>
    <t>Recommended Service Level</t>
  </si>
  <si>
    <t>93-96%</t>
  </si>
  <si>
    <t>60-80%</t>
  </si>
  <si>
    <t>Service Level Range</t>
  </si>
  <si>
    <t>98-100%</t>
  </si>
  <si>
    <t>88-95%</t>
  </si>
  <si>
    <t>below 88%</t>
  </si>
  <si>
    <t>Sales Rank</t>
  </si>
  <si>
    <t>Hits Rank</t>
  </si>
  <si>
    <t>Sales Rank Score</t>
  </si>
  <si>
    <t>Hits Rank Score</t>
  </si>
  <si>
    <t>Final Rank</t>
  </si>
  <si>
    <t>Input Parameters</t>
  </si>
  <si>
    <t>From</t>
  </si>
  <si>
    <t>To</t>
  </si>
  <si>
    <t>Weighted Score</t>
  </si>
  <si>
    <t>Sales</t>
  </si>
  <si>
    <t>Weights</t>
  </si>
  <si>
    <t>Spread</t>
  </si>
  <si>
    <t>Level Range</t>
  </si>
  <si>
    <t>Level</t>
  </si>
  <si>
    <t>0-60%</t>
  </si>
  <si>
    <t>61-80%</t>
  </si>
  <si>
    <t>81-90%</t>
  </si>
  <si>
    <t>91-100%</t>
  </si>
  <si>
    <t>Row Labels</t>
  </si>
  <si>
    <t>Grand Total</t>
  </si>
  <si>
    <t>Sum of Sales ($)</t>
  </si>
  <si>
    <t>Count of Final Rank</t>
  </si>
  <si>
    <t>Mean Demand (Day)</t>
  </si>
  <si>
    <t>Mean Lead Time (Days)</t>
  </si>
  <si>
    <t>Standard Deviation of Demand</t>
  </si>
  <si>
    <t>Standard Deviation of Lead Time</t>
  </si>
  <si>
    <t>Safety Stock</t>
  </si>
  <si>
    <t>Standard Normal Variate</t>
  </si>
  <si>
    <t>ROP</t>
  </si>
  <si>
    <t>Inventory is digital consumer electronics.</t>
  </si>
  <si>
    <t>Service level strategy for:</t>
  </si>
  <si>
    <t>high value items</t>
  </si>
  <si>
    <t>variable demand and influenced by promotions/ season</t>
  </si>
  <si>
    <t>stockouts mean lost sales, not delayed production</t>
  </si>
  <si>
    <t>customer will switch to diff retailer if item is out of stock</t>
  </si>
  <si>
    <t>Recommneded service level strategy:</t>
  </si>
  <si>
    <t>Cumulative Sales</t>
  </si>
  <si>
    <t>Cumulative Hits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</si>
</sst>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1" fillId="2" borderId="0" xfId="0" applyFont="1" applyFill="1"/>
    <xf numFmtId="1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  <xf numFmtId="0" fontId="2" fillId="0" borderId="0" xfId="1"/>
    <xf numFmtId="0" fontId="5" fillId="0" borderId="0" xfId="1" applyFont="1"/>
    <xf numFmtId="0" fontId="4" fillId="0" borderId="0" xfId="1" applyFont="1"/>
    <xf numFmtId="9" fontId="4" fillId="0" borderId="0" xfId="2" applyFont="1" applyFill="1" applyBorder="1" applyAlignment="1" applyProtection="1">
      <alignment horizontal="center"/>
      <protection locked="0"/>
    </xf>
    <xf numFmtId="9" fontId="2" fillId="0" borderId="0" xfId="2" applyFill="1" applyBorder="1"/>
    <xf numFmtId="9" fontId="4" fillId="0" borderId="0" xfId="2" applyFont="1" applyFill="1" applyBorder="1" applyAlignment="1" applyProtection="1">
      <alignment horizontal="center"/>
    </xf>
    <xf numFmtId="0" fontId="2" fillId="0" borderId="0" xfId="2" applyNumberFormat="1" applyFill="1" applyBorder="1" applyProtection="1">
      <protection locked="0"/>
    </xf>
    <xf numFmtId="0" fontId="2" fillId="0" borderId="0" xfId="2" applyNumberFormat="1" applyFill="1" applyBorder="1"/>
    <xf numFmtId="0" fontId="3" fillId="0" borderId="0" xfId="1" applyFont="1" applyAlignment="1">
      <alignment horizontal="center"/>
    </xf>
    <xf numFmtId="164" fontId="0" fillId="0" borderId="0" xfId="0" applyNumberFormat="1"/>
    <xf numFmtId="2" fontId="0" fillId="0" borderId="0" xfId="0" applyNumberFormat="1"/>
    <xf numFmtId="9" fontId="2" fillId="0" borderId="0" xfId="2" applyFill="1" applyBorder="1" applyProtection="1">
      <protection locked="0"/>
    </xf>
    <xf numFmtId="9" fontId="2" fillId="0" borderId="0" xfId="2" applyFill="1" applyBorder="1" applyProtection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3">
    <cellStyle name="Normal" xfId="0" builtinId="0"/>
    <cellStyle name="Normal 2" xfId="1" xr:uid="{CDD53939-D1C6-464C-A6E1-26317B7222C8}"/>
    <cellStyle name="Percent 2" xfId="2" xr:uid="{4E354BBB-D611-46D4-A031-87D78A61A5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cw4-my.sharepoint.com/personal/vanajakumarim_uncw_edu/Documents/Courses/BAN%20517/Fall%202018/Exam/ABC%20Inventory%20Analysis%20Solution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7"/>
      <sheetName val="Transactions"/>
      <sheetName val="Sales"/>
      <sheetName val="Hits"/>
      <sheetName val="GMROII"/>
      <sheetName val="Sheet8"/>
      <sheetName val="Sheet2"/>
      <sheetName val="Final Rank"/>
      <sheetName val="Sheet1"/>
    </sheetNames>
    <sheetDataSet>
      <sheetData sheetId="0" refreshError="1"/>
      <sheetData sheetId="1" refreshError="1">
        <row r="4">
          <cell r="F4">
            <v>1011</v>
          </cell>
          <cell r="G4">
            <v>273</v>
          </cell>
          <cell r="H4">
            <v>17</v>
          </cell>
          <cell r="I4">
            <v>29757</v>
          </cell>
        </row>
        <row r="5">
          <cell r="F5">
            <v>1012</v>
          </cell>
          <cell r="G5">
            <v>147</v>
          </cell>
          <cell r="H5">
            <v>14</v>
          </cell>
          <cell r="I5">
            <v>146853</v>
          </cell>
        </row>
        <row r="6">
          <cell r="F6">
            <v>1013</v>
          </cell>
          <cell r="G6">
            <v>152</v>
          </cell>
          <cell r="H6">
            <v>13</v>
          </cell>
          <cell r="I6">
            <v>1368</v>
          </cell>
        </row>
        <row r="7">
          <cell r="F7">
            <v>1014</v>
          </cell>
          <cell r="G7">
            <v>215</v>
          </cell>
          <cell r="H7">
            <v>15</v>
          </cell>
          <cell r="I7">
            <v>16125</v>
          </cell>
        </row>
        <row r="8">
          <cell r="F8">
            <v>1015</v>
          </cell>
          <cell r="G8">
            <v>135</v>
          </cell>
          <cell r="H8">
            <v>9</v>
          </cell>
          <cell r="I8">
            <v>675</v>
          </cell>
        </row>
        <row r="9">
          <cell r="F9">
            <v>1016</v>
          </cell>
          <cell r="G9">
            <v>395</v>
          </cell>
          <cell r="H9">
            <v>24</v>
          </cell>
          <cell r="I9">
            <v>1580</v>
          </cell>
        </row>
        <row r="10">
          <cell r="F10">
            <v>1017</v>
          </cell>
          <cell r="G10">
            <v>126</v>
          </cell>
          <cell r="H10">
            <v>8</v>
          </cell>
          <cell r="I10">
            <v>5166</v>
          </cell>
        </row>
        <row r="11">
          <cell r="F11">
            <v>1018</v>
          </cell>
          <cell r="G11">
            <v>216</v>
          </cell>
          <cell r="H11">
            <v>21</v>
          </cell>
          <cell r="I11">
            <v>47304</v>
          </cell>
        </row>
        <row r="12">
          <cell r="F12">
            <v>1019</v>
          </cell>
          <cell r="G12">
            <v>100</v>
          </cell>
          <cell r="H12">
            <v>7</v>
          </cell>
          <cell r="I12">
            <v>2500</v>
          </cell>
        </row>
        <row r="13">
          <cell r="F13">
            <v>1020</v>
          </cell>
          <cell r="G13">
            <v>463</v>
          </cell>
          <cell r="H13">
            <v>36</v>
          </cell>
          <cell r="I13">
            <v>12964</v>
          </cell>
        </row>
        <row r="14">
          <cell r="F14">
            <v>1021</v>
          </cell>
          <cell r="G14">
            <v>404</v>
          </cell>
          <cell r="H14">
            <v>38</v>
          </cell>
          <cell r="I14">
            <v>232300</v>
          </cell>
        </row>
        <row r="15">
          <cell r="F15">
            <v>1022</v>
          </cell>
          <cell r="G15">
            <v>332</v>
          </cell>
          <cell r="H15">
            <v>28</v>
          </cell>
          <cell r="I15">
            <v>4648</v>
          </cell>
        </row>
        <row r="16">
          <cell r="F16">
            <v>1023</v>
          </cell>
          <cell r="G16">
            <v>375</v>
          </cell>
          <cell r="H16">
            <v>32</v>
          </cell>
          <cell r="I16">
            <v>17250</v>
          </cell>
        </row>
        <row r="17">
          <cell r="F17">
            <v>1024</v>
          </cell>
          <cell r="G17">
            <v>488</v>
          </cell>
          <cell r="H17">
            <v>34</v>
          </cell>
          <cell r="I17">
            <v>3416</v>
          </cell>
        </row>
        <row r="18">
          <cell r="F18">
            <v>1025</v>
          </cell>
          <cell r="G18">
            <v>511</v>
          </cell>
          <cell r="H18">
            <v>41</v>
          </cell>
          <cell r="I18">
            <v>68985</v>
          </cell>
        </row>
        <row r="19">
          <cell r="F19">
            <v>1026</v>
          </cell>
          <cell r="G19">
            <v>394</v>
          </cell>
          <cell r="H19">
            <v>31</v>
          </cell>
          <cell r="I19">
            <v>10244</v>
          </cell>
        </row>
        <row r="20">
          <cell r="F20">
            <v>1027</v>
          </cell>
          <cell r="G20">
            <v>369</v>
          </cell>
          <cell r="H20">
            <v>27</v>
          </cell>
          <cell r="I20">
            <v>5166</v>
          </cell>
        </row>
        <row r="21">
          <cell r="F21">
            <v>1028</v>
          </cell>
          <cell r="G21">
            <v>332</v>
          </cell>
          <cell r="H21">
            <v>24</v>
          </cell>
          <cell r="I21">
            <v>14276</v>
          </cell>
        </row>
        <row r="22">
          <cell r="F22">
            <v>1029</v>
          </cell>
          <cell r="G22">
            <v>349</v>
          </cell>
          <cell r="H22">
            <v>34</v>
          </cell>
          <cell r="I22">
            <v>88995</v>
          </cell>
        </row>
        <row r="23">
          <cell r="F23">
            <v>1030</v>
          </cell>
          <cell r="G23">
            <v>969</v>
          </cell>
          <cell r="H23">
            <v>74</v>
          </cell>
          <cell r="I23">
            <v>12597</v>
          </cell>
        </row>
        <row r="24">
          <cell r="F24">
            <v>1031</v>
          </cell>
          <cell r="G24">
            <v>1054</v>
          </cell>
          <cell r="H24">
            <v>82</v>
          </cell>
          <cell r="I24">
            <v>14756</v>
          </cell>
        </row>
        <row r="25">
          <cell r="F25">
            <v>1032</v>
          </cell>
          <cell r="G25">
            <v>909</v>
          </cell>
          <cell r="H25">
            <v>64</v>
          </cell>
          <cell r="I25">
            <v>74538</v>
          </cell>
        </row>
        <row r="26">
          <cell r="F26">
            <v>1033</v>
          </cell>
          <cell r="G26">
            <v>1005</v>
          </cell>
          <cell r="H26">
            <v>74</v>
          </cell>
          <cell r="I26">
            <v>84420</v>
          </cell>
        </row>
        <row r="27">
          <cell r="F27">
            <v>1034</v>
          </cell>
          <cell r="G27">
            <v>1003</v>
          </cell>
          <cell r="H27">
            <v>72</v>
          </cell>
          <cell r="I27">
            <v>31093</v>
          </cell>
        </row>
        <row r="28">
          <cell r="F28">
            <v>1035</v>
          </cell>
          <cell r="G28">
            <v>1190</v>
          </cell>
          <cell r="H28">
            <v>75</v>
          </cell>
          <cell r="I28">
            <v>2284800</v>
          </cell>
        </row>
        <row r="29">
          <cell r="F29">
            <v>1036</v>
          </cell>
          <cell r="G29">
            <v>984</v>
          </cell>
          <cell r="H29">
            <v>81</v>
          </cell>
          <cell r="I29">
            <v>482160</v>
          </cell>
        </row>
        <row r="30">
          <cell r="F30">
            <v>1037</v>
          </cell>
          <cell r="G30">
            <v>656</v>
          </cell>
          <cell r="H30">
            <v>55</v>
          </cell>
          <cell r="I30">
            <v>432960</v>
          </cell>
        </row>
        <row r="31">
          <cell r="F31">
            <v>1038</v>
          </cell>
          <cell r="G31">
            <v>1062</v>
          </cell>
          <cell r="H31">
            <v>77</v>
          </cell>
          <cell r="I31">
            <v>22302</v>
          </cell>
        </row>
        <row r="32">
          <cell r="F32">
            <v>1039</v>
          </cell>
          <cell r="G32">
            <v>913</v>
          </cell>
          <cell r="H32">
            <v>74</v>
          </cell>
          <cell r="I32">
            <v>194469</v>
          </cell>
        </row>
        <row r="33">
          <cell r="F33">
            <v>1040</v>
          </cell>
          <cell r="G33">
            <v>1205</v>
          </cell>
          <cell r="H33">
            <v>91</v>
          </cell>
          <cell r="I33">
            <v>359090</v>
          </cell>
        </row>
        <row r="34">
          <cell r="F34">
            <v>1041</v>
          </cell>
          <cell r="G34">
            <v>1438</v>
          </cell>
          <cell r="H34">
            <v>104</v>
          </cell>
          <cell r="I34">
            <v>102098</v>
          </cell>
        </row>
        <row r="35">
          <cell r="F35">
            <v>1042</v>
          </cell>
          <cell r="G35">
            <v>1643</v>
          </cell>
          <cell r="H35">
            <v>306</v>
          </cell>
          <cell r="I35">
            <v>6572</v>
          </cell>
        </row>
        <row r="36">
          <cell r="F36">
            <v>1043</v>
          </cell>
          <cell r="G36">
            <v>4465</v>
          </cell>
          <cell r="H36">
            <v>468</v>
          </cell>
          <cell r="I36">
            <v>3572000</v>
          </cell>
        </row>
        <row r="37">
          <cell r="F37">
            <v>1044</v>
          </cell>
          <cell r="G37">
            <v>1381</v>
          </cell>
          <cell r="H37">
            <v>101</v>
          </cell>
          <cell r="I37">
            <v>5524</v>
          </cell>
        </row>
        <row r="38">
          <cell r="F38">
            <v>1045</v>
          </cell>
          <cell r="G38">
            <v>1881</v>
          </cell>
          <cell r="H38">
            <v>743</v>
          </cell>
          <cell r="I38">
            <v>122265</v>
          </cell>
        </row>
        <row r="39">
          <cell r="F39">
            <v>1046</v>
          </cell>
          <cell r="G39">
            <v>1122</v>
          </cell>
          <cell r="H39">
            <v>79</v>
          </cell>
          <cell r="I39">
            <v>107712</v>
          </cell>
        </row>
        <row r="40">
          <cell r="F40">
            <v>1047</v>
          </cell>
          <cell r="G40">
            <v>1236</v>
          </cell>
          <cell r="H40">
            <v>97</v>
          </cell>
          <cell r="I40">
            <v>30900</v>
          </cell>
        </row>
        <row r="41">
          <cell r="F41">
            <v>1048</v>
          </cell>
          <cell r="G41">
            <v>1282</v>
          </cell>
          <cell r="H41">
            <v>98</v>
          </cell>
          <cell r="I41">
            <v>61536</v>
          </cell>
        </row>
        <row r="42">
          <cell r="F42">
            <v>1049</v>
          </cell>
          <cell r="G42">
            <v>1426</v>
          </cell>
          <cell r="H42">
            <v>102</v>
          </cell>
          <cell r="I42">
            <v>54188</v>
          </cell>
        </row>
        <row r="43">
          <cell r="F43">
            <v>1050</v>
          </cell>
          <cell r="G43">
            <v>1334</v>
          </cell>
          <cell r="H43">
            <v>121</v>
          </cell>
          <cell r="I43">
            <v>184092</v>
          </cell>
        </row>
        <row r="44">
          <cell r="F44">
            <v>1051</v>
          </cell>
          <cell r="G44">
            <v>1179</v>
          </cell>
          <cell r="H44">
            <v>82</v>
          </cell>
          <cell r="I44">
            <v>17685</v>
          </cell>
        </row>
        <row r="45">
          <cell r="F45">
            <v>1052</v>
          </cell>
          <cell r="G45">
            <v>972</v>
          </cell>
          <cell r="H45">
            <v>75</v>
          </cell>
          <cell r="I45">
            <v>52488</v>
          </cell>
        </row>
        <row r="46">
          <cell r="F46">
            <v>1053</v>
          </cell>
          <cell r="G46">
            <v>950</v>
          </cell>
          <cell r="H46">
            <v>71</v>
          </cell>
          <cell r="I46">
            <v>25650</v>
          </cell>
        </row>
        <row r="47">
          <cell r="F47">
            <v>1054</v>
          </cell>
          <cell r="G47">
            <v>3389</v>
          </cell>
          <cell r="H47">
            <v>71</v>
          </cell>
          <cell r="I47">
            <v>5761300</v>
          </cell>
        </row>
        <row r="48">
          <cell r="F48">
            <v>1055</v>
          </cell>
          <cell r="G48">
            <v>3618</v>
          </cell>
          <cell r="H48">
            <v>83</v>
          </cell>
          <cell r="I48">
            <v>7055100</v>
          </cell>
        </row>
        <row r="49">
          <cell r="F49">
            <v>1056</v>
          </cell>
          <cell r="G49">
            <v>669</v>
          </cell>
          <cell r="H49">
            <v>50</v>
          </cell>
          <cell r="I49">
            <v>61548</v>
          </cell>
        </row>
        <row r="50">
          <cell r="F50">
            <v>1057</v>
          </cell>
          <cell r="G50">
            <v>1085</v>
          </cell>
          <cell r="H50">
            <v>85</v>
          </cell>
          <cell r="I50">
            <v>35805</v>
          </cell>
        </row>
        <row r="51">
          <cell r="F51">
            <v>1058</v>
          </cell>
          <cell r="G51">
            <v>925</v>
          </cell>
          <cell r="H51">
            <v>63</v>
          </cell>
          <cell r="I51">
            <v>30525</v>
          </cell>
        </row>
        <row r="52">
          <cell r="F52">
            <v>1059</v>
          </cell>
          <cell r="G52">
            <v>1062</v>
          </cell>
          <cell r="H52">
            <v>67</v>
          </cell>
          <cell r="I52">
            <v>39294</v>
          </cell>
        </row>
        <row r="53">
          <cell r="F53">
            <v>1060</v>
          </cell>
          <cell r="G53">
            <v>1075</v>
          </cell>
          <cell r="H53">
            <v>80</v>
          </cell>
          <cell r="I53">
            <v>13975</v>
          </cell>
        </row>
        <row r="54">
          <cell r="F54">
            <v>1061</v>
          </cell>
          <cell r="G54">
            <v>686</v>
          </cell>
          <cell r="H54">
            <v>55</v>
          </cell>
          <cell r="I54">
            <v>106330</v>
          </cell>
        </row>
        <row r="55">
          <cell r="F55">
            <v>1062</v>
          </cell>
          <cell r="G55">
            <v>596</v>
          </cell>
          <cell r="H55">
            <v>45</v>
          </cell>
          <cell r="I55">
            <v>159132</v>
          </cell>
        </row>
        <row r="56">
          <cell r="F56">
            <v>1063</v>
          </cell>
          <cell r="G56">
            <v>580</v>
          </cell>
          <cell r="H56">
            <v>49</v>
          </cell>
          <cell r="I56">
            <v>78300</v>
          </cell>
        </row>
        <row r="57">
          <cell r="F57">
            <v>1064</v>
          </cell>
          <cell r="G57">
            <v>609</v>
          </cell>
          <cell r="H57">
            <v>46</v>
          </cell>
          <cell r="I57">
            <v>98658</v>
          </cell>
        </row>
        <row r="58">
          <cell r="F58">
            <v>1065</v>
          </cell>
          <cell r="G58">
            <v>653</v>
          </cell>
          <cell r="H58">
            <v>51</v>
          </cell>
          <cell r="I58">
            <v>132559</v>
          </cell>
        </row>
        <row r="59">
          <cell r="F59">
            <v>1066</v>
          </cell>
          <cell r="G59">
            <v>424</v>
          </cell>
          <cell r="H59">
            <v>35</v>
          </cell>
          <cell r="I59">
            <v>53000</v>
          </cell>
        </row>
        <row r="60">
          <cell r="F60">
            <v>1067</v>
          </cell>
          <cell r="G60">
            <v>637</v>
          </cell>
          <cell r="H60">
            <v>48</v>
          </cell>
          <cell r="I60">
            <v>100646</v>
          </cell>
        </row>
        <row r="61">
          <cell r="F61">
            <v>1068</v>
          </cell>
          <cell r="G61">
            <v>585</v>
          </cell>
          <cell r="H61">
            <v>49</v>
          </cell>
          <cell r="I61">
            <v>136890</v>
          </cell>
        </row>
        <row r="62">
          <cell r="F62">
            <v>1069</v>
          </cell>
          <cell r="G62">
            <v>668</v>
          </cell>
          <cell r="H62">
            <v>48</v>
          </cell>
          <cell r="I62">
            <v>127588</v>
          </cell>
        </row>
        <row r="63">
          <cell r="F63">
            <v>1070</v>
          </cell>
          <cell r="G63">
            <v>667</v>
          </cell>
          <cell r="H63">
            <v>52</v>
          </cell>
          <cell r="I63">
            <v>400200</v>
          </cell>
        </row>
        <row r="64">
          <cell r="F64">
            <v>1071</v>
          </cell>
          <cell r="G64">
            <v>56</v>
          </cell>
          <cell r="H64">
            <v>4</v>
          </cell>
          <cell r="I64">
            <v>10024</v>
          </cell>
        </row>
        <row r="65">
          <cell r="F65">
            <v>1072</v>
          </cell>
          <cell r="G65">
            <v>21</v>
          </cell>
          <cell r="H65">
            <v>3</v>
          </cell>
          <cell r="I65">
            <v>4263</v>
          </cell>
        </row>
        <row r="66">
          <cell r="F66">
            <v>1073</v>
          </cell>
          <cell r="G66">
            <v>26</v>
          </cell>
          <cell r="H66">
            <v>3</v>
          </cell>
          <cell r="I66">
            <v>4888</v>
          </cell>
        </row>
        <row r="67">
          <cell r="F67">
            <v>1074</v>
          </cell>
          <cell r="G67">
            <v>37</v>
          </cell>
          <cell r="H67">
            <v>2</v>
          </cell>
          <cell r="I67">
            <v>7659</v>
          </cell>
        </row>
        <row r="68">
          <cell r="F68">
            <v>1075</v>
          </cell>
          <cell r="G68">
            <v>25</v>
          </cell>
          <cell r="H68">
            <v>1</v>
          </cell>
          <cell r="I68">
            <v>3075</v>
          </cell>
        </row>
        <row r="69">
          <cell r="F69">
            <v>1076</v>
          </cell>
          <cell r="G69">
            <v>18</v>
          </cell>
          <cell r="H69">
            <v>1</v>
          </cell>
          <cell r="I69">
            <v>2592</v>
          </cell>
        </row>
        <row r="70">
          <cell r="F70">
            <v>1077</v>
          </cell>
          <cell r="G70">
            <v>26</v>
          </cell>
          <cell r="H70">
            <v>2</v>
          </cell>
          <cell r="I70">
            <v>3978</v>
          </cell>
        </row>
        <row r="71">
          <cell r="F71">
            <v>1078</v>
          </cell>
          <cell r="G71">
            <v>7</v>
          </cell>
          <cell r="H71">
            <v>1</v>
          </cell>
          <cell r="I71">
            <v>4200</v>
          </cell>
        </row>
        <row r="72">
          <cell r="F72">
            <v>1079</v>
          </cell>
          <cell r="G72">
            <v>27</v>
          </cell>
          <cell r="H72">
            <v>3</v>
          </cell>
          <cell r="I72">
            <v>6210</v>
          </cell>
        </row>
        <row r="73">
          <cell r="F73">
            <v>1080</v>
          </cell>
          <cell r="G73">
            <v>34</v>
          </cell>
          <cell r="H73">
            <v>5</v>
          </cell>
          <cell r="I73">
            <v>12274</v>
          </cell>
        </row>
        <row r="74">
          <cell r="F74">
            <v>1081</v>
          </cell>
          <cell r="G74">
            <v>14</v>
          </cell>
          <cell r="H74">
            <v>3</v>
          </cell>
          <cell r="I74">
            <v>10794</v>
          </cell>
        </row>
        <row r="75">
          <cell r="F75">
            <v>1082</v>
          </cell>
          <cell r="G75">
            <v>13</v>
          </cell>
          <cell r="H75">
            <v>2</v>
          </cell>
          <cell r="I75">
            <v>10530</v>
          </cell>
        </row>
        <row r="76">
          <cell r="F76">
            <v>1083</v>
          </cell>
          <cell r="G76">
            <v>7</v>
          </cell>
          <cell r="H76">
            <v>1</v>
          </cell>
          <cell r="I76">
            <v>1533</v>
          </cell>
        </row>
        <row r="77">
          <cell r="F77">
            <v>1084</v>
          </cell>
          <cell r="G77">
            <v>41</v>
          </cell>
          <cell r="H77">
            <v>4</v>
          </cell>
          <cell r="I77">
            <v>8569</v>
          </cell>
        </row>
        <row r="78">
          <cell r="F78">
            <v>1085</v>
          </cell>
          <cell r="G78">
            <v>5</v>
          </cell>
          <cell r="H78">
            <v>1</v>
          </cell>
          <cell r="I78">
            <v>4725</v>
          </cell>
        </row>
        <row r="79">
          <cell r="F79">
            <v>1086</v>
          </cell>
          <cell r="G79">
            <v>6</v>
          </cell>
          <cell r="H79">
            <v>1</v>
          </cell>
          <cell r="I79">
            <v>1152</v>
          </cell>
        </row>
        <row r="80">
          <cell r="F80">
            <v>1087</v>
          </cell>
          <cell r="G80">
            <v>266</v>
          </cell>
          <cell r="H80">
            <v>23</v>
          </cell>
          <cell r="I80">
            <v>52136</v>
          </cell>
        </row>
        <row r="81">
          <cell r="F81">
            <v>1088</v>
          </cell>
          <cell r="G81">
            <v>300</v>
          </cell>
          <cell r="H81">
            <v>23</v>
          </cell>
          <cell r="I81">
            <v>55200</v>
          </cell>
        </row>
        <row r="82">
          <cell r="F82">
            <v>1089</v>
          </cell>
          <cell r="G82">
            <v>70</v>
          </cell>
          <cell r="H82">
            <v>6</v>
          </cell>
          <cell r="I82">
            <v>15960</v>
          </cell>
        </row>
        <row r="83">
          <cell r="F83">
            <v>1090</v>
          </cell>
          <cell r="G83">
            <v>5942</v>
          </cell>
          <cell r="H83">
            <v>1780</v>
          </cell>
          <cell r="I83">
            <v>9328940</v>
          </cell>
        </row>
        <row r="84">
          <cell r="F84">
            <v>1091</v>
          </cell>
          <cell r="G84">
            <v>3780</v>
          </cell>
          <cell r="H84">
            <v>948</v>
          </cell>
          <cell r="I84">
            <v>453600</v>
          </cell>
        </row>
        <row r="85">
          <cell r="F85">
            <v>1092</v>
          </cell>
          <cell r="G85">
            <v>6807</v>
          </cell>
          <cell r="H85">
            <v>2064</v>
          </cell>
          <cell r="I85">
            <v>4084200</v>
          </cell>
        </row>
        <row r="86">
          <cell r="F86">
            <v>1093</v>
          </cell>
          <cell r="G86">
            <v>143</v>
          </cell>
          <cell r="H86">
            <v>15</v>
          </cell>
          <cell r="I86">
            <v>26884</v>
          </cell>
        </row>
        <row r="87">
          <cell r="F87">
            <v>1094</v>
          </cell>
          <cell r="G87">
            <v>207</v>
          </cell>
          <cell r="H87">
            <v>16</v>
          </cell>
          <cell r="I87">
            <v>29187</v>
          </cell>
        </row>
        <row r="88">
          <cell r="F88">
            <v>1095</v>
          </cell>
          <cell r="G88">
            <v>63</v>
          </cell>
          <cell r="H88">
            <v>6</v>
          </cell>
          <cell r="I88">
            <v>9198</v>
          </cell>
        </row>
        <row r="89">
          <cell r="F89">
            <v>1096</v>
          </cell>
          <cell r="G89">
            <v>77</v>
          </cell>
          <cell r="H89">
            <v>5</v>
          </cell>
          <cell r="I89">
            <v>14476</v>
          </cell>
        </row>
        <row r="90">
          <cell r="F90">
            <v>1097</v>
          </cell>
          <cell r="G90">
            <v>17</v>
          </cell>
          <cell r="H90">
            <v>1</v>
          </cell>
          <cell r="I90">
            <v>2839</v>
          </cell>
        </row>
        <row r="91">
          <cell r="F91">
            <v>1098</v>
          </cell>
          <cell r="G91">
            <v>29</v>
          </cell>
          <cell r="H91">
            <v>2</v>
          </cell>
          <cell r="I91">
            <v>5133</v>
          </cell>
        </row>
        <row r="92">
          <cell r="F92">
            <v>1099</v>
          </cell>
          <cell r="G92">
            <v>82</v>
          </cell>
          <cell r="H92">
            <v>6</v>
          </cell>
          <cell r="I92">
            <v>17876</v>
          </cell>
        </row>
        <row r="93">
          <cell r="F93">
            <v>1100</v>
          </cell>
          <cell r="G93">
            <v>101</v>
          </cell>
          <cell r="H93">
            <v>9</v>
          </cell>
          <cell r="I93">
            <v>26260</v>
          </cell>
        </row>
        <row r="94">
          <cell r="F94">
            <v>1101</v>
          </cell>
          <cell r="G94">
            <v>43</v>
          </cell>
          <cell r="H94">
            <v>3</v>
          </cell>
          <cell r="I94">
            <v>6536</v>
          </cell>
        </row>
        <row r="95">
          <cell r="F95">
            <v>1102</v>
          </cell>
          <cell r="G95">
            <v>11</v>
          </cell>
          <cell r="H95">
            <v>2</v>
          </cell>
          <cell r="I95">
            <v>6556</v>
          </cell>
        </row>
        <row r="96">
          <cell r="F96">
            <v>1103</v>
          </cell>
          <cell r="G96">
            <v>19</v>
          </cell>
          <cell r="H96">
            <v>2</v>
          </cell>
          <cell r="I96">
            <v>2907</v>
          </cell>
        </row>
        <row r="97">
          <cell r="F97">
            <v>1104</v>
          </cell>
          <cell r="G97">
            <v>255</v>
          </cell>
          <cell r="H97">
            <v>23</v>
          </cell>
          <cell r="I97">
            <v>32130</v>
          </cell>
        </row>
        <row r="98">
          <cell r="F98">
            <v>1105</v>
          </cell>
          <cell r="G98">
            <v>10</v>
          </cell>
          <cell r="H98">
            <v>1</v>
          </cell>
          <cell r="I98">
            <v>2330</v>
          </cell>
        </row>
        <row r="99">
          <cell r="F99">
            <v>1106</v>
          </cell>
          <cell r="G99">
            <v>345</v>
          </cell>
          <cell r="H99">
            <v>23</v>
          </cell>
          <cell r="I99">
            <v>63135</v>
          </cell>
        </row>
        <row r="100">
          <cell r="F100">
            <v>1107</v>
          </cell>
          <cell r="G100">
            <v>36</v>
          </cell>
          <cell r="H100">
            <v>2</v>
          </cell>
          <cell r="I100">
            <v>8388</v>
          </cell>
        </row>
        <row r="101">
          <cell r="F101">
            <v>1108</v>
          </cell>
          <cell r="G101">
            <v>43</v>
          </cell>
          <cell r="H101">
            <v>3</v>
          </cell>
          <cell r="I101">
            <v>5805</v>
          </cell>
        </row>
        <row r="102">
          <cell r="F102">
            <v>1109</v>
          </cell>
          <cell r="G102">
            <v>15</v>
          </cell>
          <cell r="H102">
            <v>1</v>
          </cell>
          <cell r="I102">
            <v>2235</v>
          </cell>
        </row>
        <row r="103">
          <cell r="F103">
            <v>1110</v>
          </cell>
          <cell r="G103">
            <v>9</v>
          </cell>
          <cell r="H103">
            <v>3</v>
          </cell>
          <cell r="I103">
            <v>18225</v>
          </cell>
        </row>
        <row r="104">
          <cell r="F104">
            <v>1111</v>
          </cell>
          <cell r="G104">
            <v>12</v>
          </cell>
          <cell r="H104">
            <v>2</v>
          </cell>
          <cell r="I104">
            <v>32400</v>
          </cell>
        </row>
        <row r="105">
          <cell r="F105">
            <v>1112</v>
          </cell>
          <cell r="G105">
            <v>28</v>
          </cell>
          <cell r="H105">
            <v>2</v>
          </cell>
          <cell r="I105">
            <v>5656</v>
          </cell>
        </row>
        <row r="106">
          <cell r="F106">
            <v>1113</v>
          </cell>
          <cell r="G106">
            <v>7</v>
          </cell>
          <cell r="H106">
            <v>1</v>
          </cell>
          <cell r="I106">
            <v>1582</v>
          </cell>
        </row>
        <row r="107">
          <cell r="F107">
            <v>1114</v>
          </cell>
          <cell r="G107">
            <v>47</v>
          </cell>
          <cell r="H107">
            <v>3</v>
          </cell>
          <cell r="I107">
            <v>6439</v>
          </cell>
        </row>
        <row r="108">
          <cell r="F108">
            <v>1115</v>
          </cell>
          <cell r="G108">
            <v>11</v>
          </cell>
          <cell r="H108">
            <v>1</v>
          </cell>
          <cell r="I108">
            <v>2211</v>
          </cell>
        </row>
        <row r="109">
          <cell r="F109">
            <v>1116</v>
          </cell>
          <cell r="G109">
            <v>35</v>
          </cell>
          <cell r="H109">
            <v>3</v>
          </cell>
          <cell r="I109">
            <v>5320</v>
          </cell>
        </row>
        <row r="110">
          <cell r="F110">
            <v>1117</v>
          </cell>
          <cell r="G110">
            <v>325</v>
          </cell>
          <cell r="H110">
            <v>23</v>
          </cell>
          <cell r="I110">
            <v>65000</v>
          </cell>
        </row>
        <row r="111">
          <cell r="F111">
            <v>1118</v>
          </cell>
          <cell r="G111">
            <v>24</v>
          </cell>
          <cell r="H111">
            <v>3</v>
          </cell>
          <cell r="I111">
            <v>4584</v>
          </cell>
        </row>
        <row r="112">
          <cell r="F112">
            <v>1119</v>
          </cell>
          <cell r="G112">
            <v>33</v>
          </cell>
          <cell r="H112">
            <v>3</v>
          </cell>
          <cell r="I112">
            <v>7590</v>
          </cell>
        </row>
        <row r="113">
          <cell r="F113">
            <v>1120</v>
          </cell>
          <cell r="G113">
            <v>15</v>
          </cell>
          <cell r="H113">
            <v>1</v>
          </cell>
          <cell r="I113">
            <v>2490</v>
          </cell>
        </row>
        <row r="114">
          <cell r="F114">
            <v>1121</v>
          </cell>
          <cell r="G114">
            <v>14</v>
          </cell>
          <cell r="H114">
            <v>1</v>
          </cell>
          <cell r="I114">
            <v>3024</v>
          </cell>
        </row>
        <row r="115">
          <cell r="F115">
            <v>1122</v>
          </cell>
          <cell r="G115">
            <v>33</v>
          </cell>
          <cell r="H115">
            <v>2</v>
          </cell>
          <cell r="I115">
            <v>6105</v>
          </cell>
        </row>
        <row r="116">
          <cell r="F116">
            <v>1123</v>
          </cell>
          <cell r="G116">
            <v>15</v>
          </cell>
          <cell r="H116">
            <v>2</v>
          </cell>
          <cell r="I116">
            <v>1830</v>
          </cell>
        </row>
        <row r="117">
          <cell r="F117">
            <v>1124</v>
          </cell>
          <cell r="G117">
            <v>19</v>
          </cell>
          <cell r="H117">
            <v>2</v>
          </cell>
          <cell r="I117">
            <v>4389</v>
          </cell>
        </row>
        <row r="118">
          <cell r="F118">
            <v>1125</v>
          </cell>
          <cell r="G118">
            <v>255</v>
          </cell>
          <cell r="H118">
            <v>18</v>
          </cell>
          <cell r="I118">
            <v>41310</v>
          </cell>
        </row>
        <row r="119">
          <cell r="F119">
            <v>1126</v>
          </cell>
          <cell r="G119">
            <v>272</v>
          </cell>
          <cell r="H119">
            <v>16</v>
          </cell>
          <cell r="I119">
            <v>59568</v>
          </cell>
        </row>
        <row r="120">
          <cell r="F120">
            <v>1127</v>
          </cell>
          <cell r="G120">
            <v>279</v>
          </cell>
          <cell r="H120">
            <v>20</v>
          </cell>
          <cell r="I120">
            <v>61380</v>
          </cell>
        </row>
        <row r="121">
          <cell r="F121">
            <v>1128</v>
          </cell>
          <cell r="G121">
            <v>328</v>
          </cell>
          <cell r="H121">
            <v>22</v>
          </cell>
          <cell r="I121">
            <v>78392</v>
          </cell>
        </row>
        <row r="122">
          <cell r="F122">
            <v>1129</v>
          </cell>
          <cell r="G122">
            <v>437</v>
          </cell>
          <cell r="H122">
            <v>28</v>
          </cell>
          <cell r="I122">
            <v>80845</v>
          </cell>
        </row>
        <row r="123">
          <cell r="F123">
            <v>1130</v>
          </cell>
          <cell r="G123">
            <v>348</v>
          </cell>
          <cell r="H123">
            <v>27</v>
          </cell>
          <cell r="I123">
            <v>82476</v>
          </cell>
        </row>
        <row r="124">
          <cell r="F124">
            <v>1131</v>
          </cell>
          <cell r="G124">
            <v>610</v>
          </cell>
          <cell r="H124">
            <v>43</v>
          </cell>
          <cell r="I124">
            <v>204960</v>
          </cell>
        </row>
        <row r="125">
          <cell r="F125">
            <v>1132</v>
          </cell>
          <cell r="G125">
            <v>277</v>
          </cell>
          <cell r="H125">
            <v>19</v>
          </cell>
          <cell r="I125">
            <v>38226</v>
          </cell>
        </row>
        <row r="126">
          <cell r="F126">
            <v>1133</v>
          </cell>
          <cell r="G126">
            <v>489</v>
          </cell>
          <cell r="H126">
            <v>39</v>
          </cell>
          <cell r="I126">
            <v>94866</v>
          </cell>
        </row>
        <row r="127">
          <cell r="F127">
            <v>1134</v>
          </cell>
          <cell r="G127">
            <v>420</v>
          </cell>
          <cell r="H127">
            <v>25</v>
          </cell>
          <cell r="I127">
            <v>55440</v>
          </cell>
        </row>
        <row r="128">
          <cell r="F128">
            <v>1135</v>
          </cell>
          <cell r="G128">
            <v>372</v>
          </cell>
          <cell r="H128">
            <v>23</v>
          </cell>
          <cell r="I128">
            <v>74772</v>
          </cell>
        </row>
        <row r="129">
          <cell r="F129">
            <v>1136</v>
          </cell>
          <cell r="G129">
            <v>144</v>
          </cell>
          <cell r="H129">
            <v>13</v>
          </cell>
          <cell r="I129">
            <v>21600</v>
          </cell>
        </row>
        <row r="130">
          <cell r="F130">
            <v>1137</v>
          </cell>
          <cell r="G130">
            <v>44</v>
          </cell>
          <cell r="H130">
            <v>5</v>
          </cell>
          <cell r="I130">
            <v>6556</v>
          </cell>
        </row>
        <row r="131">
          <cell r="F131">
            <v>1138</v>
          </cell>
          <cell r="G131">
            <v>135</v>
          </cell>
          <cell r="H131">
            <v>12</v>
          </cell>
          <cell r="I131">
            <v>24705</v>
          </cell>
        </row>
        <row r="132">
          <cell r="F132">
            <v>1139</v>
          </cell>
          <cell r="G132">
            <v>253</v>
          </cell>
          <cell r="H132">
            <v>18</v>
          </cell>
          <cell r="I132">
            <v>31878</v>
          </cell>
        </row>
        <row r="133">
          <cell r="F133">
            <v>1140</v>
          </cell>
          <cell r="G133">
            <v>184</v>
          </cell>
          <cell r="H133">
            <v>12</v>
          </cell>
          <cell r="I133">
            <v>29440</v>
          </cell>
        </row>
        <row r="134">
          <cell r="F134">
            <v>1141</v>
          </cell>
          <cell r="G134">
            <v>35</v>
          </cell>
          <cell r="H134">
            <v>5</v>
          </cell>
          <cell r="I134">
            <v>6440</v>
          </cell>
        </row>
        <row r="135">
          <cell r="F135">
            <v>1142</v>
          </cell>
          <cell r="G135">
            <v>10</v>
          </cell>
          <cell r="H135">
            <v>1</v>
          </cell>
          <cell r="I135">
            <v>6300</v>
          </cell>
        </row>
        <row r="136">
          <cell r="F136">
            <v>1143</v>
          </cell>
          <cell r="G136">
            <v>310</v>
          </cell>
          <cell r="H136">
            <v>23</v>
          </cell>
          <cell r="I136">
            <v>57350</v>
          </cell>
        </row>
        <row r="137">
          <cell r="F137">
            <v>1144</v>
          </cell>
          <cell r="G137">
            <v>7</v>
          </cell>
          <cell r="H137">
            <v>1</v>
          </cell>
          <cell r="I137">
            <v>2275</v>
          </cell>
        </row>
        <row r="138">
          <cell r="F138">
            <v>1145</v>
          </cell>
          <cell r="G138">
            <v>32</v>
          </cell>
          <cell r="H138">
            <v>2</v>
          </cell>
          <cell r="I138">
            <v>7648</v>
          </cell>
        </row>
        <row r="139">
          <cell r="F139">
            <v>1146</v>
          </cell>
          <cell r="G139">
            <v>30</v>
          </cell>
          <cell r="H139">
            <v>2</v>
          </cell>
          <cell r="I139">
            <v>4050</v>
          </cell>
        </row>
        <row r="140">
          <cell r="F140">
            <v>1147</v>
          </cell>
          <cell r="G140">
            <v>35</v>
          </cell>
          <cell r="H140">
            <v>2</v>
          </cell>
          <cell r="I140">
            <v>5425</v>
          </cell>
        </row>
        <row r="141">
          <cell r="F141">
            <v>1148</v>
          </cell>
          <cell r="G141">
            <v>20</v>
          </cell>
          <cell r="H141">
            <v>1</v>
          </cell>
          <cell r="I141">
            <v>2960</v>
          </cell>
        </row>
        <row r="142">
          <cell r="F142">
            <v>1149</v>
          </cell>
          <cell r="G142">
            <v>35</v>
          </cell>
          <cell r="H142">
            <v>3</v>
          </cell>
          <cell r="I142">
            <v>6790</v>
          </cell>
        </row>
        <row r="143">
          <cell r="F143">
            <v>1150</v>
          </cell>
          <cell r="G143">
            <v>1313</v>
          </cell>
          <cell r="H143">
            <v>97</v>
          </cell>
          <cell r="I143">
            <v>303303</v>
          </cell>
        </row>
        <row r="144">
          <cell r="F144">
            <v>1151</v>
          </cell>
          <cell r="G144">
            <v>1451</v>
          </cell>
          <cell r="H144">
            <v>98</v>
          </cell>
          <cell r="I144">
            <v>290200</v>
          </cell>
        </row>
        <row r="145">
          <cell r="F145">
            <v>1152</v>
          </cell>
          <cell r="G145">
            <v>1299</v>
          </cell>
          <cell r="H145">
            <v>97</v>
          </cell>
          <cell r="I145">
            <v>284481</v>
          </cell>
        </row>
        <row r="146">
          <cell r="F146">
            <v>1153</v>
          </cell>
          <cell r="G146">
            <v>938</v>
          </cell>
          <cell r="H146">
            <v>68</v>
          </cell>
          <cell r="I146">
            <v>176344</v>
          </cell>
        </row>
        <row r="147">
          <cell r="F147">
            <v>1154</v>
          </cell>
          <cell r="G147">
            <v>1554</v>
          </cell>
          <cell r="H147">
            <v>102</v>
          </cell>
          <cell r="I147">
            <v>247086</v>
          </cell>
        </row>
        <row r="148">
          <cell r="F148">
            <v>1155</v>
          </cell>
          <cell r="G148">
            <v>1491</v>
          </cell>
          <cell r="H148">
            <v>94</v>
          </cell>
          <cell r="I148">
            <v>1938300</v>
          </cell>
        </row>
        <row r="149">
          <cell r="F149">
            <v>1156</v>
          </cell>
          <cell r="G149">
            <v>1713</v>
          </cell>
          <cell r="H149">
            <v>105</v>
          </cell>
          <cell r="I149">
            <v>277506</v>
          </cell>
        </row>
        <row r="150">
          <cell r="F150">
            <v>1157</v>
          </cell>
          <cell r="G150">
            <v>1091</v>
          </cell>
          <cell r="H150">
            <v>76</v>
          </cell>
          <cell r="I150">
            <v>242202</v>
          </cell>
        </row>
        <row r="151">
          <cell r="F151">
            <v>1158</v>
          </cell>
          <cell r="G151">
            <v>876</v>
          </cell>
          <cell r="H151">
            <v>67</v>
          </cell>
          <cell r="I151">
            <v>197100</v>
          </cell>
        </row>
        <row r="152">
          <cell r="F152">
            <v>1159</v>
          </cell>
          <cell r="G152">
            <v>1849</v>
          </cell>
          <cell r="H152">
            <v>494</v>
          </cell>
          <cell r="I152">
            <v>305085</v>
          </cell>
        </row>
        <row r="153">
          <cell r="F153">
            <v>1160</v>
          </cell>
          <cell r="G153">
            <v>1217</v>
          </cell>
          <cell r="H153">
            <v>95</v>
          </cell>
          <cell r="I153">
            <v>361449</v>
          </cell>
        </row>
        <row r="154">
          <cell r="F154">
            <v>1161</v>
          </cell>
          <cell r="G154">
            <v>972</v>
          </cell>
          <cell r="H154">
            <v>79</v>
          </cell>
          <cell r="I154">
            <v>541404</v>
          </cell>
        </row>
        <row r="155">
          <cell r="F155">
            <v>1162</v>
          </cell>
          <cell r="G155">
            <v>1341</v>
          </cell>
          <cell r="H155">
            <v>95</v>
          </cell>
          <cell r="I155">
            <v>435825</v>
          </cell>
        </row>
        <row r="156">
          <cell r="F156">
            <v>1163</v>
          </cell>
          <cell r="G156">
            <v>1398</v>
          </cell>
          <cell r="H156">
            <v>95</v>
          </cell>
          <cell r="I156">
            <v>429186</v>
          </cell>
        </row>
        <row r="157">
          <cell r="F157">
            <v>1164</v>
          </cell>
          <cell r="G157">
            <v>851</v>
          </cell>
          <cell r="H157">
            <v>342</v>
          </cell>
          <cell r="I157">
            <v>230621</v>
          </cell>
        </row>
        <row r="158">
          <cell r="F158">
            <v>1165</v>
          </cell>
          <cell r="G158">
            <v>1765</v>
          </cell>
          <cell r="H158">
            <v>491</v>
          </cell>
          <cell r="I158">
            <v>478315</v>
          </cell>
        </row>
        <row r="159">
          <cell r="F159">
            <v>1166</v>
          </cell>
          <cell r="G159">
            <v>1710</v>
          </cell>
          <cell r="H159">
            <v>345</v>
          </cell>
          <cell r="I159">
            <v>499320</v>
          </cell>
        </row>
        <row r="160">
          <cell r="F160">
            <v>1167</v>
          </cell>
          <cell r="G160">
            <v>1996</v>
          </cell>
          <cell r="H160">
            <v>772</v>
          </cell>
          <cell r="I160">
            <v>538920</v>
          </cell>
        </row>
        <row r="161">
          <cell r="F161">
            <v>1168</v>
          </cell>
          <cell r="G161">
            <v>2865</v>
          </cell>
          <cell r="H161">
            <v>933</v>
          </cell>
          <cell r="I161">
            <v>974100</v>
          </cell>
        </row>
        <row r="162">
          <cell r="F162">
            <v>1169</v>
          </cell>
          <cell r="G162">
            <v>1209</v>
          </cell>
          <cell r="H162">
            <v>94</v>
          </cell>
          <cell r="I162">
            <v>385671</v>
          </cell>
        </row>
        <row r="163">
          <cell r="F163">
            <v>1170</v>
          </cell>
          <cell r="G163">
            <v>5477</v>
          </cell>
          <cell r="H163">
            <v>764</v>
          </cell>
          <cell r="I163">
            <v>1489744</v>
          </cell>
        </row>
        <row r="164">
          <cell r="F164">
            <v>1171</v>
          </cell>
          <cell r="G164">
            <v>1843</v>
          </cell>
          <cell r="H164">
            <v>564</v>
          </cell>
          <cell r="I164">
            <v>493924</v>
          </cell>
        </row>
        <row r="165">
          <cell r="F165">
            <v>1172</v>
          </cell>
          <cell r="G165">
            <v>1249</v>
          </cell>
          <cell r="H165">
            <v>85</v>
          </cell>
          <cell r="I165">
            <v>397182</v>
          </cell>
        </row>
        <row r="166">
          <cell r="F166">
            <v>1173</v>
          </cell>
          <cell r="G166">
            <v>1285</v>
          </cell>
          <cell r="H166">
            <v>99</v>
          </cell>
          <cell r="I166">
            <v>355945</v>
          </cell>
        </row>
        <row r="167">
          <cell r="F167">
            <v>1174</v>
          </cell>
          <cell r="G167">
            <v>1204</v>
          </cell>
          <cell r="H167">
            <v>91</v>
          </cell>
          <cell r="I167">
            <v>359996</v>
          </cell>
        </row>
        <row r="168">
          <cell r="F168">
            <v>1175</v>
          </cell>
          <cell r="G168">
            <v>275</v>
          </cell>
          <cell r="H168">
            <v>97</v>
          </cell>
          <cell r="I168">
            <v>297000</v>
          </cell>
        </row>
        <row r="169">
          <cell r="F169">
            <v>1176</v>
          </cell>
          <cell r="G169">
            <v>1635</v>
          </cell>
          <cell r="H169">
            <v>438</v>
          </cell>
          <cell r="I169">
            <v>434910</v>
          </cell>
        </row>
        <row r="170">
          <cell r="F170">
            <v>1177</v>
          </cell>
          <cell r="G170">
            <v>1522</v>
          </cell>
          <cell r="H170">
            <v>112</v>
          </cell>
          <cell r="I170">
            <v>433770</v>
          </cell>
        </row>
        <row r="171">
          <cell r="F171">
            <v>1178</v>
          </cell>
          <cell r="G171">
            <v>5940</v>
          </cell>
          <cell r="H171">
            <v>661</v>
          </cell>
          <cell r="I171">
            <v>1716660</v>
          </cell>
        </row>
        <row r="172">
          <cell r="F172">
            <v>1179</v>
          </cell>
          <cell r="G172">
            <v>1767</v>
          </cell>
          <cell r="H172">
            <v>455</v>
          </cell>
          <cell r="I172">
            <v>519498</v>
          </cell>
        </row>
        <row r="173">
          <cell r="F173">
            <v>1180</v>
          </cell>
          <cell r="G173">
            <v>3791</v>
          </cell>
          <cell r="H173">
            <v>75</v>
          </cell>
          <cell r="I173">
            <v>7202900</v>
          </cell>
        </row>
        <row r="174">
          <cell r="F174">
            <v>1181</v>
          </cell>
          <cell r="G174">
            <v>1117</v>
          </cell>
          <cell r="H174">
            <v>85</v>
          </cell>
          <cell r="I174">
            <v>332866</v>
          </cell>
        </row>
        <row r="175">
          <cell r="F175">
            <v>1182</v>
          </cell>
          <cell r="G175">
            <v>1256</v>
          </cell>
          <cell r="H175">
            <v>92</v>
          </cell>
          <cell r="I175">
            <v>385592</v>
          </cell>
        </row>
        <row r="176">
          <cell r="F176">
            <v>1183</v>
          </cell>
          <cell r="G176">
            <v>1226</v>
          </cell>
          <cell r="H176">
            <v>98</v>
          </cell>
          <cell r="I176">
            <v>397224</v>
          </cell>
        </row>
        <row r="177">
          <cell r="F177">
            <v>1184</v>
          </cell>
          <cell r="G177">
            <v>855</v>
          </cell>
          <cell r="H177">
            <v>66</v>
          </cell>
          <cell r="I177">
            <v>273600</v>
          </cell>
        </row>
        <row r="178">
          <cell r="F178">
            <v>1185</v>
          </cell>
          <cell r="G178">
            <v>1068</v>
          </cell>
          <cell r="H178">
            <v>78</v>
          </cell>
          <cell r="I178">
            <v>322536</v>
          </cell>
        </row>
        <row r="179">
          <cell r="F179">
            <v>1186</v>
          </cell>
          <cell r="G179">
            <v>1295</v>
          </cell>
          <cell r="H179">
            <v>95</v>
          </cell>
          <cell r="I179">
            <v>366485</v>
          </cell>
        </row>
        <row r="180">
          <cell r="F180">
            <v>1187</v>
          </cell>
          <cell r="G180">
            <v>1222</v>
          </cell>
          <cell r="H180">
            <v>97</v>
          </cell>
          <cell r="I180">
            <v>373932</v>
          </cell>
        </row>
        <row r="181">
          <cell r="F181">
            <v>1188</v>
          </cell>
          <cell r="G181">
            <v>870</v>
          </cell>
          <cell r="H181">
            <v>66</v>
          </cell>
          <cell r="I181">
            <v>232290</v>
          </cell>
        </row>
        <row r="182">
          <cell r="F182">
            <v>1189</v>
          </cell>
          <cell r="G182">
            <v>1080</v>
          </cell>
          <cell r="H182">
            <v>85</v>
          </cell>
          <cell r="I182">
            <v>312120</v>
          </cell>
        </row>
        <row r="183">
          <cell r="F183">
            <v>1190</v>
          </cell>
          <cell r="G183">
            <v>858</v>
          </cell>
          <cell r="H183">
            <v>63</v>
          </cell>
          <cell r="I183">
            <v>229086</v>
          </cell>
        </row>
        <row r="184">
          <cell r="F184">
            <v>1191</v>
          </cell>
          <cell r="G184">
            <v>1048</v>
          </cell>
          <cell r="H184">
            <v>83</v>
          </cell>
          <cell r="I184">
            <v>324880</v>
          </cell>
        </row>
        <row r="185">
          <cell r="F185">
            <v>1192</v>
          </cell>
          <cell r="G185">
            <v>2894</v>
          </cell>
          <cell r="H185">
            <v>132</v>
          </cell>
          <cell r="I185">
            <v>873988</v>
          </cell>
        </row>
        <row r="186">
          <cell r="F186">
            <v>1193</v>
          </cell>
          <cell r="G186">
            <v>3104</v>
          </cell>
          <cell r="H186">
            <v>95</v>
          </cell>
          <cell r="I186">
            <v>1707200</v>
          </cell>
        </row>
        <row r="187">
          <cell r="F187">
            <v>1194</v>
          </cell>
          <cell r="G187">
            <v>1358</v>
          </cell>
          <cell r="H187">
            <v>106</v>
          </cell>
          <cell r="I187">
            <v>526904</v>
          </cell>
        </row>
        <row r="188">
          <cell r="F188">
            <v>1195</v>
          </cell>
          <cell r="G188">
            <v>1170</v>
          </cell>
          <cell r="H188">
            <v>86</v>
          </cell>
          <cell r="I188">
            <v>307710</v>
          </cell>
        </row>
        <row r="189">
          <cell r="F189">
            <v>1196</v>
          </cell>
          <cell r="G189">
            <v>3071</v>
          </cell>
          <cell r="H189">
            <v>784</v>
          </cell>
          <cell r="I189">
            <v>1302104</v>
          </cell>
        </row>
        <row r="190">
          <cell r="F190">
            <v>1197</v>
          </cell>
          <cell r="G190">
            <v>987</v>
          </cell>
          <cell r="H190">
            <v>82</v>
          </cell>
          <cell r="I190">
            <v>361242</v>
          </cell>
        </row>
        <row r="191">
          <cell r="F191">
            <v>1198</v>
          </cell>
          <cell r="G191">
            <v>2578</v>
          </cell>
          <cell r="H191">
            <v>537</v>
          </cell>
          <cell r="I191">
            <v>1804600</v>
          </cell>
        </row>
        <row r="192">
          <cell r="F192">
            <v>1199</v>
          </cell>
          <cell r="G192">
            <v>1268</v>
          </cell>
          <cell r="H192">
            <v>86</v>
          </cell>
          <cell r="I192">
            <v>453944</v>
          </cell>
        </row>
        <row r="193">
          <cell r="F193">
            <v>1200</v>
          </cell>
          <cell r="G193">
            <v>1085</v>
          </cell>
          <cell r="H193">
            <v>91</v>
          </cell>
          <cell r="I193">
            <v>389515</v>
          </cell>
        </row>
        <row r="194">
          <cell r="F194">
            <v>1201</v>
          </cell>
          <cell r="G194">
            <v>1628</v>
          </cell>
          <cell r="H194">
            <v>465</v>
          </cell>
          <cell r="I194">
            <v>486772</v>
          </cell>
        </row>
        <row r="195">
          <cell r="F195">
            <v>1202</v>
          </cell>
          <cell r="G195">
            <v>1046</v>
          </cell>
          <cell r="H195">
            <v>80</v>
          </cell>
          <cell r="I195">
            <v>418400</v>
          </cell>
        </row>
        <row r="196">
          <cell r="F196">
            <v>1203</v>
          </cell>
          <cell r="G196">
            <v>1306</v>
          </cell>
          <cell r="H196">
            <v>92</v>
          </cell>
          <cell r="I196">
            <v>390494</v>
          </cell>
        </row>
        <row r="197">
          <cell r="F197">
            <v>1204</v>
          </cell>
          <cell r="G197">
            <v>1118</v>
          </cell>
          <cell r="H197">
            <v>92</v>
          </cell>
          <cell r="I197">
            <v>391300</v>
          </cell>
        </row>
        <row r="198">
          <cell r="F198">
            <v>1205</v>
          </cell>
          <cell r="G198">
            <v>2111</v>
          </cell>
          <cell r="H198">
            <v>545</v>
          </cell>
          <cell r="I198">
            <v>1161050</v>
          </cell>
        </row>
        <row r="199">
          <cell r="F199">
            <v>1206</v>
          </cell>
          <cell r="G199">
            <v>1026</v>
          </cell>
          <cell r="H199">
            <v>78</v>
          </cell>
          <cell r="I199">
            <v>509922</v>
          </cell>
        </row>
        <row r="200">
          <cell r="F200">
            <v>1207</v>
          </cell>
          <cell r="G200">
            <v>1111</v>
          </cell>
          <cell r="H200">
            <v>92</v>
          </cell>
          <cell r="I200">
            <v>534391</v>
          </cell>
        </row>
        <row r="201">
          <cell r="F201">
            <v>1208</v>
          </cell>
          <cell r="G201">
            <v>765</v>
          </cell>
          <cell r="H201">
            <v>61</v>
          </cell>
          <cell r="I201">
            <v>251685</v>
          </cell>
        </row>
        <row r="202">
          <cell r="F202">
            <v>1209</v>
          </cell>
          <cell r="G202">
            <v>1049</v>
          </cell>
          <cell r="H202">
            <v>81</v>
          </cell>
          <cell r="I202">
            <v>398620</v>
          </cell>
        </row>
        <row r="203">
          <cell r="F203">
            <v>1210</v>
          </cell>
          <cell r="G203">
            <v>1178</v>
          </cell>
          <cell r="H203">
            <v>90</v>
          </cell>
          <cell r="I203">
            <v>488870</v>
          </cell>
        </row>
        <row r="204">
          <cell r="F204">
            <v>1211</v>
          </cell>
          <cell r="G204">
            <v>1358</v>
          </cell>
          <cell r="H204">
            <v>106</v>
          </cell>
          <cell r="I204">
            <v>497028</v>
          </cell>
        </row>
        <row r="205">
          <cell r="F205">
            <v>1212</v>
          </cell>
          <cell r="G205">
            <v>873</v>
          </cell>
          <cell r="H205">
            <v>71</v>
          </cell>
          <cell r="I205">
            <v>343962</v>
          </cell>
        </row>
        <row r="206">
          <cell r="F206">
            <v>1213</v>
          </cell>
          <cell r="G206">
            <v>1280</v>
          </cell>
          <cell r="H206">
            <v>97</v>
          </cell>
          <cell r="I206">
            <v>896000</v>
          </cell>
        </row>
        <row r="207">
          <cell r="F207">
            <v>1214</v>
          </cell>
          <cell r="G207">
            <v>1410</v>
          </cell>
          <cell r="H207">
            <v>94</v>
          </cell>
          <cell r="I207">
            <v>1057500</v>
          </cell>
        </row>
        <row r="208">
          <cell r="F208">
            <v>1215</v>
          </cell>
          <cell r="G208">
            <v>1840</v>
          </cell>
          <cell r="H208">
            <v>92</v>
          </cell>
          <cell r="I208">
            <v>1067200</v>
          </cell>
        </row>
        <row r="209">
          <cell r="F209" t="str">
            <v>Grand Total</v>
          </cell>
          <cell r="G209">
            <v>183371</v>
          </cell>
          <cell r="H209">
            <v>23252</v>
          </cell>
          <cell r="I209">
            <v>82046150</v>
          </cell>
        </row>
      </sheetData>
      <sheetData sheetId="2" refreshError="1"/>
      <sheetData sheetId="3" refreshError="1"/>
      <sheetData sheetId="4" refreshError="1">
        <row r="1">
          <cell r="A1" t="str">
            <v>Item Number</v>
          </cell>
          <cell r="B1" t="str">
            <v>Item Name</v>
          </cell>
          <cell r="C1" t="str">
            <v>UoM</v>
          </cell>
          <cell r="D1" t="str">
            <v>Hits</v>
          </cell>
        </row>
        <row r="2">
          <cell r="A2">
            <v>1092</v>
          </cell>
          <cell r="B2" t="str">
            <v>Iphone4</v>
          </cell>
          <cell r="C2" t="str">
            <v xml:space="preserve">EA </v>
          </cell>
          <cell r="D2">
            <v>2064</v>
          </cell>
        </row>
        <row r="3">
          <cell r="A3">
            <v>1090</v>
          </cell>
          <cell r="B3" t="str">
            <v>Ipad</v>
          </cell>
          <cell r="C3" t="str">
            <v xml:space="preserve">EA </v>
          </cell>
          <cell r="D3">
            <v>1780</v>
          </cell>
        </row>
        <row r="4">
          <cell r="A4">
            <v>1091</v>
          </cell>
          <cell r="B4" t="str">
            <v>Iphone3</v>
          </cell>
          <cell r="C4" t="str">
            <v xml:space="preserve">EA </v>
          </cell>
          <cell r="D4">
            <v>948</v>
          </cell>
        </row>
        <row r="5">
          <cell r="A5">
            <v>1168</v>
          </cell>
          <cell r="B5" t="str">
            <v>Serengeti 160 Lumen Cree LED Flashlight</v>
          </cell>
          <cell r="C5" t="str">
            <v xml:space="preserve">EA </v>
          </cell>
          <cell r="D5">
            <v>933</v>
          </cell>
        </row>
        <row r="6">
          <cell r="A6">
            <v>1196</v>
          </cell>
          <cell r="B6" t="str">
            <v>Uniden 4-Handset Phone</v>
          </cell>
          <cell r="C6" t="str">
            <v xml:space="preserve">EA </v>
          </cell>
          <cell r="D6">
            <v>784</v>
          </cell>
        </row>
        <row r="7">
          <cell r="A7">
            <v>1167</v>
          </cell>
          <cell r="B7" t="str">
            <v>Screaming Monkey with Woot Cape</v>
          </cell>
          <cell r="C7" t="str">
            <v xml:space="preserve">EA </v>
          </cell>
          <cell r="D7">
            <v>772</v>
          </cell>
        </row>
        <row r="8">
          <cell r="A8">
            <v>1170</v>
          </cell>
          <cell r="B8" t="str">
            <v xml:space="preserve">Silver Edition Buckyballs </v>
          </cell>
          <cell r="C8" t="str">
            <v xml:space="preserve">EA </v>
          </cell>
          <cell r="D8">
            <v>764</v>
          </cell>
        </row>
        <row r="9">
          <cell r="A9">
            <v>1045</v>
          </cell>
          <cell r="B9" t="str">
            <v>Cisco Voip Router</v>
          </cell>
          <cell r="C9" t="str">
            <v xml:space="preserve">EA </v>
          </cell>
          <cell r="D9">
            <v>743</v>
          </cell>
        </row>
        <row r="10">
          <cell r="A10">
            <v>1178</v>
          </cell>
          <cell r="B10" t="str">
            <v>SOG Outdoor Gear</v>
          </cell>
          <cell r="C10" t="str">
            <v xml:space="preserve">EA </v>
          </cell>
          <cell r="D10">
            <v>661</v>
          </cell>
        </row>
        <row r="11">
          <cell r="A11">
            <v>1171</v>
          </cell>
          <cell r="B11" t="str">
            <v>Skil 22-Piece Dual-Sided Socket Set</v>
          </cell>
          <cell r="C11" t="str">
            <v xml:space="preserve">EA </v>
          </cell>
          <cell r="D11">
            <v>564</v>
          </cell>
        </row>
        <row r="12">
          <cell r="A12">
            <v>1205</v>
          </cell>
          <cell r="B12" t="str">
            <v>VoIP Home Phone System</v>
          </cell>
          <cell r="C12" t="str">
            <v xml:space="preserve">EA </v>
          </cell>
          <cell r="D12">
            <v>545</v>
          </cell>
        </row>
        <row r="13">
          <cell r="A13">
            <v>1198</v>
          </cell>
          <cell r="B13" t="str">
            <v>UPS</v>
          </cell>
          <cell r="C13" t="str">
            <v xml:space="preserve">EA </v>
          </cell>
          <cell r="D13">
            <v>537</v>
          </cell>
        </row>
        <row r="14">
          <cell r="A14">
            <v>1159</v>
          </cell>
          <cell r="B14" t="str">
            <v>RCA 26” LCD HDTV</v>
          </cell>
          <cell r="C14" t="str">
            <v xml:space="preserve">EA </v>
          </cell>
          <cell r="D14">
            <v>494</v>
          </cell>
        </row>
        <row r="15">
          <cell r="A15">
            <v>1165</v>
          </cell>
          <cell r="B15" t="str">
            <v>Sandisk 4GB Sansa Clip</v>
          </cell>
          <cell r="C15" t="str">
            <v xml:space="preserve">EA </v>
          </cell>
          <cell r="D15">
            <v>491</v>
          </cell>
        </row>
        <row r="16">
          <cell r="A16">
            <v>1043</v>
          </cell>
          <cell r="B16" t="str">
            <v>Channel Home Theatre System</v>
          </cell>
          <cell r="C16" t="str">
            <v xml:space="preserve">EA </v>
          </cell>
          <cell r="D16">
            <v>468</v>
          </cell>
        </row>
        <row r="17">
          <cell r="A17">
            <v>1201</v>
          </cell>
          <cell r="B17" t="str">
            <v>Vizio 32” 720p LCD HDTV</v>
          </cell>
          <cell r="C17" t="str">
            <v xml:space="preserve">EA </v>
          </cell>
          <cell r="D17">
            <v>465</v>
          </cell>
        </row>
        <row r="18">
          <cell r="A18">
            <v>1179</v>
          </cell>
          <cell r="B18" t="str">
            <v>Sony Pix</v>
          </cell>
          <cell r="C18" t="str">
            <v xml:space="preserve">EA </v>
          </cell>
          <cell r="D18">
            <v>455</v>
          </cell>
        </row>
        <row r="19">
          <cell r="A19">
            <v>1176</v>
          </cell>
          <cell r="B19" t="str">
            <v>Smartparts 8” Digital Picture Frame</v>
          </cell>
          <cell r="C19" t="str">
            <v xml:space="preserve">EA </v>
          </cell>
          <cell r="D19">
            <v>438</v>
          </cell>
        </row>
        <row r="20">
          <cell r="A20">
            <v>1166</v>
          </cell>
          <cell r="B20" t="str">
            <v>Screaming Giant Monkey with Black Woot Cape</v>
          </cell>
          <cell r="C20" t="str">
            <v xml:space="preserve">EA </v>
          </cell>
          <cell r="D20">
            <v>345</v>
          </cell>
        </row>
        <row r="21">
          <cell r="A21">
            <v>1164</v>
          </cell>
          <cell r="B21" t="str">
            <v>Samsung Tab</v>
          </cell>
          <cell r="C21" t="str">
            <v xml:space="preserve">EA </v>
          </cell>
          <cell r="D21">
            <v>342</v>
          </cell>
        </row>
        <row r="22">
          <cell r="A22">
            <v>1042</v>
          </cell>
          <cell r="B22" t="str">
            <v>Centon DataStick Pro 32GB USB Flash Drive</v>
          </cell>
          <cell r="C22" t="str">
            <v xml:space="preserve">EA </v>
          </cell>
          <cell r="D22">
            <v>306</v>
          </cell>
        </row>
        <row r="23">
          <cell r="A23">
            <v>1192</v>
          </cell>
          <cell r="B23" t="str">
            <v>TeknoCreations Charging Station</v>
          </cell>
          <cell r="C23" t="str">
            <v xml:space="preserve">EA </v>
          </cell>
          <cell r="D23">
            <v>132</v>
          </cell>
        </row>
        <row r="24">
          <cell r="A24">
            <v>1050</v>
          </cell>
          <cell r="B24" t="str">
            <v>Connected Blu-ray Player</v>
          </cell>
          <cell r="C24" t="str">
            <v xml:space="preserve">EA </v>
          </cell>
          <cell r="D24">
            <v>121</v>
          </cell>
        </row>
        <row r="25">
          <cell r="A25">
            <v>1177</v>
          </cell>
          <cell r="B25" t="str">
            <v>SOG Multi-Tool Powerlock EOD</v>
          </cell>
          <cell r="C25" t="str">
            <v xml:space="preserve">EA </v>
          </cell>
          <cell r="D25">
            <v>112</v>
          </cell>
        </row>
        <row r="26">
          <cell r="A26">
            <v>1194</v>
          </cell>
          <cell r="B26" t="str">
            <v>Trivet - 2 Pack</v>
          </cell>
          <cell r="C26" t="str">
            <v xml:space="preserve">EA </v>
          </cell>
          <cell r="D26">
            <v>106</v>
          </cell>
        </row>
        <row r="27">
          <cell r="A27">
            <v>1211</v>
          </cell>
          <cell r="B27" t="str">
            <v>Westinghouse Ultra-slim 42” 1080p</v>
          </cell>
          <cell r="C27" t="str">
            <v xml:space="preserve">EA </v>
          </cell>
          <cell r="D27">
            <v>106</v>
          </cell>
        </row>
        <row r="28">
          <cell r="A28">
            <v>1156</v>
          </cell>
          <cell r="B28" t="str">
            <v>Queen Size Memory Foam Mattress</v>
          </cell>
          <cell r="C28" t="str">
            <v xml:space="preserve">EA </v>
          </cell>
          <cell r="D28">
            <v>105</v>
          </cell>
        </row>
        <row r="29">
          <cell r="A29">
            <v>1041</v>
          </cell>
          <cell r="B29" t="str">
            <v>Centon 32GB Class 10 SDHC Card</v>
          </cell>
          <cell r="C29" t="str">
            <v xml:space="preserve">EA </v>
          </cell>
          <cell r="D29">
            <v>104</v>
          </cell>
        </row>
        <row r="30">
          <cell r="A30">
            <v>1049</v>
          </cell>
          <cell r="B30" t="str">
            <v>Compactdisk</v>
          </cell>
          <cell r="C30" t="str">
            <v xml:space="preserve">EA </v>
          </cell>
          <cell r="D30">
            <v>102</v>
          </cell>
        </row>
        <row r="31">
          <cell r="A31">
            <v>1154</v>
          </cell>
          <cell r="B31" t="str">
            <v>Processor Intel-I3</v>
          </cell>
          <cell r="C31" t="str">
            <v xml:space="preserve">EA </v>
          </cell>
          <cell r="D31">
            <v>102</v>
          </cell>
        </row>
        <row r="32">
          <cell r="A32">
            <v>1044</v>
          </cell>
          <cell r="B32" t="str">
            <v>chumby one: Smart Internet Companion</v>
          </cell>
          <cell r="C32" t="str">
            <v xml:space="preserve">EA </v>
          </cell>
          <cell r="D32">
            <v>101</v>
          </cell>
        </row>
        <row r="33">
          <cell r="A33">
            <v>1173</v>
          </cell>
          <cell r="B33" t="str">
            <v>Skil 85pc Home Theatre Stubby Tool Set</v>
          </cell>
          <cell r="C33" t="str">
            <v xml:space="preserve">EA </v>
          </cell>
          <cell r="D33">
            <v>99</v>
          </cell>
        </row>
        <row r="34">
          <cell r="A34">
            <v>1048</v>
          </cell>
          <cell r="B34" t="str">
            <v>Colgate Wisp Toothbrush – 48 Pack</v>
          </cell>
          <cell r="C34" t="str">
            <v xml:space="preserve">EA </v>
          </cell>
          <cell r="D34">
            <v>98</v>
          </cell>
        </row>
        <row r="35">
          <cell r="A35">
            <v>1151</v>
          </cell>
          <cell r="B35" t="str">
            <v>Polaroid 14MP Digital Camera</v>
          </cell>
          <cell r="C35" t="str">
            <v xml:space="preserve">EA </v>
          </cell>
          <cell r="D35">
            <v>98</v>
          </cell>
        </row>
        <row r="36">
          <cell r="A36">
            <v>1183</v>
          </cell>
          <cell r="B36" t="str">
            <v>Sprinkler with Metal Spike</v>
          </cell>
          <cell r="C36" t="str">
            <v xml:space="preserve">EA </v>
          </cell>
          <cell r="D36">
            <v>98</v>
          </cell>
        </row>
        <row r="37">
          <cell r="A37">
            <v>1047</v>
          </cell>
          <cell r="B37" t="str">
            <v>Coleman LED Axis Headlamp Bundle</v>
          </cell>
          <cell r="C37" t="str">
            <v xml:space="preserve">EA </v>
          </cell>
          <cell r="D37">
            <v>97</v>
          </cell>
        </row>
        <row r="38">
          <cell r="A38">
            <v>1150</v>
          </cell>
          <cell r="B38" t="str">
            <v>Plus 61” Deluxe Tripod</v>
          </cell>
          <cell r="C38" t="str">
            <v xml:space="preserve">EA </v>
          </cell>
          <cell r="D38">
            <v>97</v>
          </cell>
        </row>
        <row r="39">
          <cell r="A39">
            <v>1152</v>
          </cell>
          <cell r="B39" t="str">
            <v>Polaroid HD USB Digital Camcorder</v>
          </cell>
          <cell r="C39" t="str">
            <v xml:space="preserve">EA </v>
          </cell>
          <cell r="D39">
            <v>97</v>
          </cell>
        </row>
        <row r="40">
          <cell r="A40">
            <v>1175</v>
          </cell>
          <cell r="B40" t="str">
            <v>SLR Nikkon 3000S</v>
          </cell>
          <cell r="C40" t="str">
            <v xml:space="preserve">EA </v>
          </cell>
          <cell r="D40">
            <v>97</v>
          </cell>
        </row>
        <row r="41">
          <cell r="A41">
            <v>1187</v>
          </cell>
          <cell r="B41" t="str">
            <v>Sunpak Platinum Plus Tripod</v>
          </cell>
          <cell r="C41" t="str">
            <v xml:space="preserve">EA </v>
          </cell>
          <cell r="D41">
            <v>97</v>
          </cell>
        </row>
        <row r="42">
          <cell r="A42">
            <v>1213</v>
          </cell>
          <cell r="B42" t="str">
            <v>Xbox</v>
          </cell>
          <cell r="C42" t="str">
            <v xml:space="preserve">EA </v>
          </cell>
          <cell r="D42">
            <v>97</v>
          </cell>
        </row>
        <row r="43">
          <cell r="A43">
            <v>1160</v>
          </cell>
          <cell r="B43" t="str">
            <v>Rightway 3.5” GPS</v>
          </cell>
          <cell r="C43" t="str">
            <v xml:space="preserve">EA </v>
          </cell>
          <cell r="D43">
            <v>95</v>
          </cell>
        </row>
        <row r="44">
          <cell r="A44">
            <v>1162</v>
          </cell>
          <cell r="B44" t="str">
            <v>Samsung Bluetooth Headset</v>
          </cell>
          <cell r="C44" t="str">
            <v xml:space="preserve">EA </v>
          </cell>
          <cell r="D44">
            <v>95</v>
          </cell>
        </row>
        <row r="45">
          <cell r="A45">
            <v>1163</v>
          </cell>
          <cell r="B45" t="str">
            <v>Samsung Bluetooth Headset</v>
          </cell>
          <cell r="C45" t="str">
            <v xml:space="preserve">EA </v>
          </cell>
          <cell r="D45">
            <v>95</v>
          </cell>
        </row>
        <row r="46">
          <cell r="A46">
            <v>1186</v>
          </cell>
          <cell r="B46" t="str">
            <v>Sunpak Flex Pod Pro Plus</v>
          </cell>
          <cell r="C46" t="str">
            <v xml:space="preserve">EA </v>
          </cell>
          <cell r="D46">
            <v>95</v>
          </cell>
        </row>
        <row r="47">
          <cell r="A47">
            <v>1193</v>
          </cell>
          <cell r="B47" t="str">
            <v>Toothbrush Sanitizer</v>
          </cell>
          <cell r="C47" t="str">
            <v xml:space="preserve">EA </v>
          </cell>
          <cell r="D47">
            <v>95</v>
          </cell>
        </row>
        <row r="48">
          <cell r="A48">
            <v>1155</v>
          </cell>
          <cell r="B48" t="str">
            <v>Profile LP USB Turntable</v>
          </cell>
          <cell r="C48" t="str">
            <v xml:space="preserve">EA </v>
          </cell>
          <cell r="D48">
            <v>94</v>
          </cell>
        </row>
        <row r="49">
          <cell r="A49">
            <v>1169</v>
          </cell>
          <cell r="B49" t="str">
            <v>Shot Hard Surface Cleaner</v>
          </cell>
          <cell r="C49" t="str">
            <v xml:space="preserve">EA </v>
          </cell>
          <cell r="D49">
            <v>94</v>
          </cell>
        </row>
        <row r="50">
          <cell r="A50">
            <v>1214</v>
          </cell>
          <cell r="B50" t="str">
            <v>XP600 Battery Pack</v>
          </cell>
          <cell r="C50" t="str">
            <v xml:space="preserve">EA </v>
          </cell>
          <cell r="D50">
            <v>94</v>
          </cell>
        </row>
        <row r="51">
          <cell r="A51">
            <v>1182</v>
          </cell>
          <cell r="B51" t="str">
            <v>Spikebuster</v>
          </cell>
          <cell r="C51" t="str">
            <v xml:space="preserve">EA </v>
          </cell>
          <cell r="D51">
            <v>92</v>
          </cell>
        </row>
        <row r="52">
          <cell r="A52">
            <v>1203</v>
          </cell>
          <cell r="B52" t="str">
            <v>Vizio 37” 1080p LCD HDTV</v>
          </cell>
          <cell r="C52" t="str">
            <v xml:space="preserve">EA </v>
          </cell>
          <cell r="D52">
            <v>92</v>
          </cell>
        </row>
        <row r="53">
          <cell r="A53">
            <v>1204</v>
          </cell>
          <cell r="B53" t="str">
            <v>Voice Alert Cooking Thermometer</v>
          </cell>
          <cell r="C53" t="str">
            <v xml:space="preserve">EA </v>
          </cell>
          <cell r="D53">
            <v>92</v>
          </cell>
        </row>
        <row r="54">
          <cell r="A54">
            <v>1207</v>
          </cell>
          <cell r="B54" t="str">
            <v>VuPoint 4x6 Digital Photo Scanner</v>
          </cell>
          <cell r="C54" t="str">
            <v xml:space="preserve">EA </v>
          </cell>
          <cell r="D54">
            <v>92</v>
          </cell>
        </row>
        <row r="55">
          <cell r="A55">
            <v>1215</v>
          </cell>
          <cell r="B55" t="str">
            <v>XtremeMac InCharge Travel Kit</v>
          </cell>
          <cell r="C55" t="str">
            <v xml:space="preserve">EA </v>
          </cell>
          <cell r="D55">
            <v>92</v>
          </cell>
        </row>
        <row r="56">
          <cell r="A56">
            <v>1040</v>
          </cell>
          <cell r="B56" t="str">
            <v>Casio Exilim 14.1MP Digital Camera</v>
          </cell>
          <cell r="C56" t="str">
            <v xml:space="preserve">EA </v>
          </cell>
          <cell r="D56">
            <v>91</v>
          </cell>
        </row>
        <row r="57">
          <cell r="A57">
            <v>1174</v>
          </cell>
          <cell r="B57" t="str">
            <v>Skil Tool Set</v>
          </cell>
          <cell r="C57" t="str">
            <v xml:space="preserve">EA </v>
          </cell>
          <cell r="D57">
            <v>91</v>
          </cell>
        </row>
        <row r="58">
          <cell r="A58">
            <v>1200</v>
          </cell>
          <cell r="B58" t="str">
            <v>Violight Sonic Ion Toothbrush</v>
          </cell>
          <cell r="C58" t="str">
            <v xml:space="preserve">EA </v>
          </cell>
          <cell r="D58">
            <v>91</v>
          </cell>
        </row>
        <row r="59">
          <cell r="A59">
            <v>1210</v>
          </cell>
          <cell r="B59" t="str">
            <v>Watt Supreme Garment Steamer</v>
          </cell>
          <cell r="C59" t="str">
            <v xml:space="preserve">EA </v>
          </cell>
          <cell r="D59">
            <v>90</v>
          </cell>
        </row>
        <row r="60">
          <cell r="A60">
            <v>1195</v>
          </cell>
          <cell r="B60" t="str">
            <v xml:space="preserve">TrueFire Gourmet Cedar Wraps </v>
          </cell>
          <cell r="C60" t="str">
            <v xml:space="preserve">EA </v>
          </cell>
          <cell r="D60">
            <v>86</v>
          </cell>
        </row>
        <row r="61">
          <cell r="A61">
            <v>1199</v>
          </cell>
          <cell r="B61" t="str">
            <v>USB Flashing Police Lights</v>
          </cell>
          <cell r="C61" t="str">
            <v xml:space="preserve">EA </v>
          </cell>
          <cell r="D61">
            <v>86</v>
          </cell>
        </row>
        <row r="62">
          <cell r="A62">
            <v>1057</v>
          </cell>
          <cell r="B62" t="str">
            <v>Digital Camcorder Kit with 4GB SD Card</v>
          </cell>
          <cell r="C62" t="str">
            <v xml:space="preserve">EA </v>
          </cell>
          <cell r="D62">
            <v>85</v>
          </cell>
        </row>
        <row r="63">
          <cell r="A63">
            <v>1172</v>
          </cell>
          <cell r="B63" t="str">
            <v>Skil 7” Laser Level</v>
          </cell>
          <cell r="C63" t="str">
            <v xml:space="preserve">EA </v>
          </cell>
          <cell r="D63">
            <v>85</v>
          </cell>
        </row>
        <row r="64">
          <cell r="A64">
            <v>1181</v>
          </cell>
          <cell r="B64" t="str">
            <v>Speed HDMI Cable by PPC</v>
          </cell>
          <cell r="C64" t="str">
            <v xml:space="preserve">EA </v>
          </cell>
          <cell r="D64">
            <v>85</v>
          </cell>
        </row>
        <row r="65">
          <cell r="A65">
            <v>1189</v>
          </cell>
          <cell r="B65" t="str">
            <v>SwiftSmart Computerized Sewing Machine</v>
          </cell>
          <cell r="C65" t="str">
            <v xml:space="preserve">EA </v>
          </cell>
          <cell r="D65">
            <v>85</v>
          </cell>
        </row>
        <row r="66">
          <cell r="A66">
            <v>1055</v>
          </cell>
          <cell r="B66" t="str">
            <v>Dell Studio 17</v>
          </cell>
          <cell r="C66" t="str">
            <v xml:space="preserve">EA </v>
          </cell>
          <cell r="D66">
            <v>83</v>
          </cell>
        </row>
        <row r="67">
          <cell r="A67">
            <v>1191</v>
          </cell>
          <cell r="B67" t="str">
            <v>T-Driver Set</v>
          </cell>
          <cell r="C67" t="str">
            <v xml:space="preserve">EA </v>
          </cell>
          <cell r="D67">
            <v>83</v>
          </cell>
        </row>
        <row r="68">
          <cell r="A68">
            <v>1031</v>
          </cell>
          <cell r="B68" t="str">
            <v>Belkin n52te Tournament Edition SpeedPad</v>
          </cell>
          <cell r="C68" t="str">
            <v xml:space="preserve">EA </v>
          </cell>
          <cell r="D68">
            <v>82</v>
          </cell>
        </row>
        <row r="69">
          <cell r="A69">
            <v>1051</v>
          </cell>
          <cell r="B69" t="str">
            <v>Criss Angel Street Magic Bundle</v>
          </cell>
          <cell r="C69" t="str">
            <v xml:space="preserve">EA </v>
          </cell>
          <cell r="D69">
            <v>82</v>
          </cell>
        </row>
        <row r="70">
          <cell r="A70">
            <v>1197</v>
          </cell>
          <cell r="B70" t="str">
            <v>Upright Ball Vacuum</v>
          </cell>
          <cell r="C70" t="str">
            <v xml:space="preserve">EA </v>
          </cell>
          <cell r="D70">
            <v>82</v>
          </cell>
        </row>
        <row r="71">
          <cell r="A71">
            <v>1036</v>
          </cell>
          <cell r="B71" t="str">
            <v>Canon Rebel T1i</v>
          </cell>
          <cell r="C71" t="str">
            <v xml:space="preserve">EA </v>
          </cell>
          <cell r="D71">
            <v>81</v>
          </cell>
        </row>
        <row r="72">
          <cell r="A72">
            <v>1209</v>
          </cell>
          <cell r="B72" t="str">
            <v>Wagner Power Painter</v>
          </cell>
          <cell r="C72" t="str">
            <v xml:space="preserve">EA </v>
          </cell>
          <cell r="D72">
            <v>81</v>
          </cell>
        </row>
        <row r="73">
          <cell r="A73">
            <v>1060</v>
          </cell>
          <cell r="B73" t="str">
            <v>Digital Video Converter</v>
          </cell>
          <cell r="C73" t="str">
            <v xml:space="preserve">EA </v>
          </cell>
          <cell r="D73">
            <v>80</v>
          </cell>
        </row>
        <row r="74">
          <cell r="A74">
            <v>1202</v>
          </cell>
          <cell r="B74" t="str">
            <v>Vizio 32” 720p LCD HDTV</v>
          </cell>
          <cell r="C74" t="str">
            <v xml:space="preserve">EA </v>
          </cell>
          <cell r="D74">
            <v>80</v>
          </cell>
        </row>
        <row r="75">
          <cell r="A75">
            <v>1046</v>
          </cell>
          <cell r="B75" t="str">
            <v>Class 10 SDHC Card</v>
          </cell>
          <cell r="C75" t="str">
            <v xml:space="preserve">EA </v>
          </cell>
          <cell r="D75">
            <v>79</v>
          </cell>
        </row>
        <row r="76">
          <cell r="A76">
            <v>1161</v>
          </cell>
          <cell r="B76" t="str">
            <v>Samsung 14.2MP Ultra Slim Digital Camera</v>
          </cell>
          <cell r="C76" t="str">
            <v xml:space="preserve">EA </v>
          </cell>
          <cell r="D76">
            <v>79</v>
          </cell>
        </row>
        <row r="77">
          <cell r="A77">
            <v>1185</v>
          </cell>
          <cell r="B77" t="str">
            <v xml:space="preserve">Sunpak Carbon Fiber Tripod </v>
          </cell>
          <cell r="C77" t="str">
            <v xml:space="preserve">EA </v>
          </cell>
          <cell r="D77">
            <v>78</v>
          </cell>
        </row>
        <row r="78">
          <cell r="A78">
            <v>1206</v>
          </cell>
          <cell r="B78" t="str">
            <v>VuPoint 35mm Slide &amp; Negative Film Convert</v>
          </cell>
          <cell r="C78" t="str">
            <v xml:space="preserve">EA </v>
          </cell>
          <cell r="D78">
            <v>78</v>
          </cell>
        </row>
        <row r="79">
          <cell r="A79">
            <v>1038</v>
          </cell>
          <cell r="B79" t="str">
            <v>Carcharias Gaming Headset</v>
          </cell>
          <cell r="C79" t="str">
            <v xml:space="preserve">EA </v>
          </cell>
          <cell r="D79">
            <v>77</v>
          </cell>
        </row>
        <row r="80">
          <cell r="A80">
            <v>1157</v>
          </cell>
          <cell r="B80" t="str">
            <v>RAM</v>
          </cell>
          <cell r="C80" t="str">
            <v xml:space="preserve">EA </v>
          </cell>
          <cell r="D80">
            <v>76</v>
          </cell>
        </row>
        <row r="81">
          <cell r="A81">
            <v>1035</v>
          </cell>
          <cell r="B81" t="str">
            <v>Camera- Canon 7D</v>
          </cell>
          <cell r="C81" t="str">
            <v xml:space="preserve">EA </v>
          </cell>
          <cell r="D81">
            <v>75</v>
          </cell>
        </row>
        <row r="82">
          <cell r="A82">
            <v>1052</v>
          </cell>
          <cell r="B82" t="str">
            <v>Curtis 24” 1080p LCD HDTV</v>
          </cell>
          <cell r="C82" t="str">
            <v xml:space="preserve">EA </v>
          </cell>
          <cell r="D82">
            <v>75</v>
          </cell>
        </row>
        <row r="83">
          <cell r="A83">
            <v>1180</v>
          </cell>
          <cell r="B83" t="str">
            <v>Speaker-Bose</v>
          </cell>
          <cell r="C83" t="str">
            <v xml:space="preserve">EA </v>
          </cell>
          <cell r="D83">
            <v>75</v>
          </cell>
        </row>
        <row r="84">
          <cell r="A84">
            <v>1030</v>
          </cell>
          <cell r="B84" t="str">
            <v>AT&amp;T 4-Handset Cordless Phone</v>
          </cell>
          <cell r="C84" t="str">
            <v xml:space="preserve">EA </v>
          </cell>
          <cell r="D84">
            <v>74</v>
          </cell>
        </row>
        <row r="85">
          <cell r="A85">
            <v>1033</v>
          </cell>
          <cell r="B85" t="str">
            <v>Buckyballs 216 Piece Magnetic Set</v>
          </cell>
          <cell r="C85" t="str">
            <v xml:space="preserve">EA </v>
          </cell>
          <cell r="D85">
            <v>74</v>
          </cell>
        </row>
        <row r="86">
          <cell r="A86">
            <v>1039</v>
          </cell>
          <cell r="B86" t="str">
            <v>Casio Exilim 12.1MP Digital Camera</v>
          </cell>
          <cell r="C86" t="str">
            <v xml:space="preserve">EA </v>
          </cell>
          <cell r="D86">
            <v>74</v>
          </cell>
        </row>
        <row r="87">
          <cell r="A87">
            <v>1034</v>
          </cell>
          <cell r="B87" t="str">
            <v>Cables to Go iPod Compatible Travel Kit</v>
          </cell>
          <cell r="C87" t="str">
            <v xml:space="preserve">EA </v>
          </cell>
          <cell r="D87">
            <v>72</v>
          </cell>
        </row>
        <row r="88">
          <cell r="A88">
            <v>1053</v>
          </cell>
          <cell r="B88" t="str">
            <v>Dash Personal Internet Viewer</v>
          </cell>
          <cell r="C88" t="str">
            <v xml:space="preserve">EA </v>
          </cell>
          <cell r="D88">
            <v>71</v>
          </cell>
        </row>
        <row r="89">
          <cell r="A89">
            <v>1054</v>
          </cell>
          <cell r="B89" t="str">
            <v>Dell Studio 15</v>
          </cell>
          <cell r="C89" t="str">
            <v xml:space="preserve">EA </v>
          </cell>
          <cell r="D89">
            <v>71</v>
          </cell>
        </row>
        <row r="90">
          <cell r="A90">
            <v>1212</v>
          </cell>
          <cell r="B90" t="str">
            <v>Wood Mantel and Table Clock</v>
          </cell>
          <cell r="C90" t="str">
            <v xml:space="preserve">EA </v>
          </cell>
          <cell r="D90">
            <v>71</v>
          </cell>
        </row>
        <row r="91">
          <cell r="A91">
            <v>1153</v>
          </cell>
          <cell r="B91" t="str">
            <v>Presorvac 5 Cycle Marinater</v>
          </cell>
          <cell r="C91" t="str">
            <v xml:space="preserve">EA </v>
          </cell>
          <cell r="D91">
            <v>68</v>
          </cell>
        </row>
        <row r="92">
          <cell r="A92">
            <v>1059</v>
          </cell>
          <cell r="B92" t="str">
            <v>Digital Photo Ornament</v>
          </cell>
          <cell r="C92" t="str">
            <v xml:space="preserve">EA </v>
          </cell>
          <cell r="D92">
            <v>67</v>
          </cell>
        </row>
        <row r="93">
          <cell r="A93">
            <v>1158</v>
          </cell>
          <cell r="B93" t="str">
            <v>Ratcheting Screwdriver</v>
          </cell>
          <cell r="C93" t="str">
            <v xml:space="preserve">EA </v>
          </cell>
          <cell r="D93">
            <v>67</v>
          </cell>
        </row>
        <row r="94">
          <cell r="A94">
            <v>1184</v>
          </cell>
          <cell r="B94" t="str">
            <v>Sunbeam Heated Fleece Throw</v>
          </cell>
          <cell r="C94" t="str">
            <v xml:space="preserve">EA </v>
          </cell>
          <cell r="D94">
            <v>66</v>
          </cell>
        </row>
        <row r="95">
          <cell r="A95">
            <v>1188</v>
          </cell>
          <cell r="B95" t="str">
            <v>Supreme Garment Steamer</v>
          </cell>
          <cell r="C95" t="str">
            <v xml:space="preserve">EA </v>
          </cell>
          <cell r="D95">
            <v>66</v>
          </cell>
        </row>
        <row r="96">
          <cell r="A96">
            <v>1032</v>
          </cell>
          <cell r="B96" t="str">
            <v>Bridge Battle Habitat Set</v>
          </cell>
          <cell r="C96" t="str">
            <v xml:space="preserve">EA </v>
          </cell>
          <cell r="D96">
            <v>64</v>
          </cell>
        </row>
        <row r="97">
          <cell r="A97">
            <v>1058</v>
          </cell>
          <cell r="B97" t="str">
            <v>Digital Camera</v>
          </cell>
          <cell r="C97" t="str">
            <v xml:space="preserve">EA </v>
          </cell>
          <cell r="D97">
            <v>63</v>
          </cell>
        </row>
        <row r="98">
          <cell r="A98">
            <v>1190</v>
          </cell>
          <cell r="B98" t="str">
            <v>SyncMaster 24” LCD Monitor</v>
          </cell>
          <cell r="C98" t="str">
            <v xml:space="preserve">EA </v>
          </cell>
          <cell r="D98">
            <v>63</v>
          </cell>
        </row>
        <row r="99">
          <cell r="A99">
            <v>1208</v>
          </cell>
          <cell r="B99" t="str">
            <v>Vupoint Film &amp; Slide Converter – XP</v>
          </cell>
          <cell r="C99" t="str">
            <v xml:space="preserve">EA </v>
          </cell>
          <cell r="D99">
            <v>61</v>
          </cell>
        </row>
        <row r="100">
          <cell r="A100">
            <v>1037</v>
          </cell>
          <cell r="B100" t="str">
            <v>Canon Rebel T2i</v>
          </cell>
          <cell r="C100" t="str">
            <v xml:space="preserve">EA </v>
          </cell>
          <cell r="D100">
            <v>55</v>
          </cell>
        </row>
        <row r="101">
          <cell r="A101">
            <v>1061</v>
          </cell>
          <cell r="B101" t="str">
            <v>Dual-Sided Palm Ratchet</v>
          </cell>
          <cell r="C101" t="str">
            <v xml:space="preserve">EA </v>
          </cell>
          <cell r="D101">
            <v>55</v>
          </cell>
        </row>
        <row r="102">
          <cell r="A102">
            <v>1070</v>
          </cell>
          <cell r="B102" t="str">
            <v>Franklin Covey Leather Steno Pad Holder</v>
          </cell>
          <cell r="C102" t="str">
            <v xml:space="preserve">EA </v>
          </cell>
          <cell r="D102">
            <v>52</v>
          </cell>
        </row>
        <row r="103">
          <cell r="A103">
            <v>1065</v>
          </cell>
          <cell r="B103" t="str">
            <v>Ethernetcard</v>
          </cell>
          <cell r="C103" t="str">
            <v xml:space="preserve">EA </v>
          </cell>
          <cell r="D103">
            <v>51</v>
          </cell>
        </row>
        <row r="104">
          <cell r="A104">
            <v>1056</v>
          </cell>
          <cell r="B104" t="str">
            <v>Deluxe Auto Safety Kit</v>
          </cell>
          <cell r="C104" t="str">
            <v xml:space="preserve">EA </v>
          </cell>
          <cell r="D104">
            <v>50</v>
          </cell>
        </row>
        <row r="105">
          <cell r="A105">
            <v>1063</v>
          </cell>
          <cell r="B105" t="str">
            <v>Ear Headphones - 2 Pack</v>
          </cell>
          <cell r="C105" t="str">
            <v xml:space="preserve">EA </v>
          </cell>
          <cell r="D105">
            <v>49</v>
          </cell>
        </row>
        <row r="106">
          <cell r="A106">
            <v>1068</v>
          </cell>
          <cell r="B106" t="str">
            <v>Flip SlideHD 16GB Video Camera</v>
          </cell>
          <cell r="C106" t="str">
            <v xml:space="preserve">EA </v>
          </cell>
          <cell r="D106">
            <v>49</v>
          </cell>
        </row>
        <row r="107">
          <cell r="A107">
            <v>1067</v>
          </cell>
          <cell r="B107" t="str">
            <v>First Act 5-Pad Digital Drum Set</v>
          </cell>
          <cell r="C107" t="str">
            <v xml:space="preserve">EA </v>
          </cell>
          <cell r="D107">
            <v>48</v>
          </cell>
        </row>
        <row r="108">
          <cell r="A108">
            <v>1069</v>
          </cell>
          <cell r="B108" t="str">
            <v>Flip SlideHD 16GB Video Camera</v>
          </cell>
          <cell r="C108" t="str">
            <v xml:space="preserve">EA </v>
          </cell>
          <cell r="D108">
            <v>48</v>
          </cell>
        </row>
        <row r="109">
          <cell r="A109">
            <v>1064</v>
          </cell>
          <cell r="B109" t="str">
            <v>Eco Club EZ-Shopper – Apricot</v>
          </cell>
          <cell r="C109" t="str">
            <v xml:space="preserve">EA </v>
          </cell>
          <cell r="D109">
            <v>46</v>
          </cell>
        </row>
        <row r="110">
          <cell r="A110">
            <v>1062</v>
          </cell>
          <cell r="B110" t="str">
            <v>Dual-Sided Socket Set</v>
          </cell>
          <cell r="C110" t="str">
            <v xml:space="preserve">EA </v>
          </cell>
          <cell r="D110">
            <v>45</v>
          </cell>
        </row>
        <row r="111">
          <cell r="A111">
            <v>1131</v>
          </cell>
          <cell r="B111" t="str">
            <v xml:space="preserve">NeatDesk Desktop Scanner </v>
          </cell>
          <cell r="C111" t="str">
            <v xml:space="preserve">EA </v>
          </cell>
          <cell r="D111">
            <v>43</v>
          </cell>
        </row>
        <row r="112">
          <cell r="A112">
            <v>1025</v>
          </cell>
          <cell r="B112" t="str">
            <v>Apple iPod Nano 8GB</v>
          </cell>
          <cell r="C112" t="str">
            <v xml:space="preserve">EA </v>
          </cell>
          <cell r="D112">
            <v>41</v>
          </cell>
        </row>
        <row r="113">
          <cell r="A113">
            <v>1133</v>
          </cell>
          <cell r="B113" t="str">
            <v>One-Touch Photo Scanner</v>
          </cell>
          <cell r="C113" t="str">
            <v xml:space="preserve">EA </v>
          </cell>
          <cell r="D113">
            <v>39</v>
          </cell>
        </row>
        <row r="114">
          <cell r="A114">
            <v>1021</v>
          </cell>
          <cell r="B114" t="str">
            <v>40” 1080p LCD HDTV</v>
          </cell>
          <cell r="C114" t="str">
            <v xml:space="preserve">EA </v>
          </cell>
          <cell r="D114">
            <v>38</v>
          </cell>
        </row>
        <row r="115">
          <cell r="A115">
            <v>1020</v>
          </cell>
          <cell r="B115" t="str">
            <v>3-Watt Cree LED Aluminum Flashlight</v>
          </cell>
          <cell r="C115" t="str">
            <v xml:space="preserve">EA </v>
          </cell>
          <cell r="D115">
            <v>36</v>
          </cell>
        </row>
        <row r="116">
          <cell r="A116">
            <v>1066</v>
          </cell>
          <cell r="B116" t="str">
            <v>Euro-Pro Ninja Master Drink Maker</v>
          </cell>
          <cell r="C116" t="str">
            <v xml:space="preserve">EA </v>
          </cell>
          <cell r="D116">
            <v>35</v>
          </cell>
        </row>
        <row r="117">
          <cell r="A117">
            <v>1024</v>
          </cell>
          <cell r="B117" t="str">
            <v>Aerodynamic Storm Umbrella</v>
          </cell>
          <cell r="C117" t="str">
            <v xml:space="preserve">EA </v>
          </cell>
          <cell r="D117">
            <v>34</v>
          </cell>
        </row>
        <row r="118">
          <cell r="A118">
            <v>1029</v>
          </cell>
          <cell r="B118" t="str">
            <v>Asus 8.9” Tablet Convertible PC</v>
          </cell>
          <cell r="C118" t="str">
            <v xml:space="preserve">EA </v>
          </cell>
          <cell r="D118">
            <v>34</v>
          </cell>
        </row>
        <row r="119">
          <cell r="A119">
            <v>1023</v>
          </cell>
          <cell r="B119" t="str">
            <v>6-Outlet Surge Protector</v>
          </cell>
          <cell r="C119" t="str">
            <v xml:space="preserve">EA </v>
          </cell>
          <cell r="D119">
            <v>32</v>
          </cell>
        </row>
        <row r="120">
          <cell r="A120">
            <v>1026</v>
          </cell>
          <cell r="B120" t="str">
            <v>Aqua Globe 5 Pack</v>
          </cell>
          <cell r="C120" t="str">
            <v xml:space="preserve">EA </v>
          </cell>
          <cell r="D120">
            <v>31</v>
          </cell>
        </row>
        <row r="121">
          <cell r="A121">
            <v>1022</v>
          </cell>
          <cell r="B121" t="str">
            <v>4-Port USB Hub</v>
          </cell>
          <cell r="C121" t="str">
            <v xml:space="preserve">EA </v>
          </cell>
          <cell r="D121">
            <v>28</v>
          </cell>
        </row>
        <row r="122">
          <cell r="A122">
            <v>1129</v>
          </cell>
          <cell r="B122" t="str">
            <v>Multi-Purpose Tool Set</v>
          </cell>
          <cell r="C122" t="str">
            <v xml:space="preserve">EA </v>
          </cell>
          <cell r="D122">
            <v>28</v>
          </cell>
        </row>
        <row r="123">
          <cell r="A123">
            <v>1027</v>
          </cell>
          <cell r="B123" t="str">
            <v>Aqua Globe Mini Globes – 3 Pack</v>
          </cell>
          <cell r="C123" t="str">
            <v xml:space="preserve">EA </v>
          </cell>
          <cell r="D123">
            <v>27</v>
          </cell>
        </row>
        <row r="124">
          <cell r="A124">
            <v>1130</v>
          </cell>
          <cell r="B124" t="str">
            <v>Musicplayer</v>
          </cell>
          <cell r="C124" t="str">
            <v xml:space="preserve">EA </v>
          </cell>
          <cell r="D124">
            <v>27</v>
          </cell>
        </row>
        <row r="125">
          <cell r="A125">
            <v>1134</v>
          </cell>
          <cell r="B125" t="str">
            <v>Optoma HD 1080p Home Theater Projector</v>
          </cell>
          <cell r="C125" t="str">
            <v xml:space="preserve">EA </v>
          </cell>
          <cell r="D125">
            <v>25</v>
          </cell>
        </row>
        <row r="126">
          <cell r="A126">
            <v>1016</v>
          </cell>
          <cell r="B126" t="str">
            <v>2011 Woot! Calendar</v>
          </cell>
          <cell r="C126" t="str">
            <v xml:space="preserve">EA </v>
          </cell>
          <cell r="D126">
            <v>24</v>
          </cell>
        </row>
        <row r="127">
          <cell r="A127">
            <v>1028</v>
          </cell>
          <cell r="B127" t="str">
            <v>Aqua Globes Medium 2-Pack</v>
          </cell>
          <cell r="C127" t="str">
            <v xml:space="preserve">EA </v>
          </cell>
          <cell r="D127">
            <v>24</v>
          </cell>
        </row>
        <row r="128">
          <cell r="A128">
            <v>1087</v>
          </cell>
          <cell r="B128" t="str">
            <v>Ikon Diecast Blender</v>
          </cell>
          <cell r="C128" t="str">
            <v xml:space="preserve">EA </v>
          </cell>
          <cell r="D128">
            <v>23</v>
          </cell>
        </row>
        <row r="129">
          <cell r="A129">
            <v>1088</v>
          </cell>
          <cell r="B129" t="str">
            <v>Intec Wii Wave Remote Controller</v>
          </cell>
          <cell r="C129" t="str">
            <v xml:space="preserve">EA </v>
          </cell>
          <cell r="D129">
            <v>23</v>
          </cell>
        </row>
        <row r="130">
          <cell r="A130">
            <v>1104</v>
          </cell>
          <cell r="B130" t="str">
            <v>LeakFrog Water Leak Alarm 2-Pack</v>
          </cell>
          <cell r="C130" t="str">
            <v xml:space="preserve">EA </v>
          </cell>
          <cell r="D130">
            <v>23</v>
          </cell>
        </row>
        <row r="131">
          <cell r="A131">
            <v>1106</v>
          </cell>
          <cell r="B131" t="str">
            <v>Lens 55-250</v>
          </cell>
          <cell r="C131" t="str">
            <v xml:space="preserve">EA </v>
          </cell>
          <cell r="D131">
            <v>23</v>
          </cell>
        </row>
        <row r="132">
          <cell r="A132">
            <v>1117</v>
          </cell>
          <cell r="B132" t="str">
            <v>Maximo Data &amp; Charging Cable</v>
          </cell>
          <cell r="C132" t="str">
            <v xml:space="preserve">EA </v>
          </cell>
          <cell r="D132">
            <v>23</v>
          </cell>
        </row>
        <row r="133">
          <cell r="A133">
            <v>1135</v>
          </cell>
          <cell r="B133" t="str">
            <v>Optoma PK102 Pico Pocket Projector</v>
          </cell>
          <cell r="C133" t="str">
            <v xml:space="preserve">EA </v>
          </cell>
          <cell r="D133">
            <v>23</v>
          </cell>
        </row>
        <row r="134">
          <cell r="A134">
            <v>1143</v>
          </cell>
          <cell r="B134" t="str">
            <v>Philips Portable DVD player</v>
          </cell>
          <cell r="C134" t="str">
            <v xml:space="preserve">EA </v>
          </cell>
          <cell r="D134">
            <v>23</v>
          </cell>
        </row>
        <row r="135">
          <cell r="A135">
            <v>1128</v>
          </cell>
          <cell r="B135" t="str">
            <v>Multimedia Keyboard and Mouse</v>
          </cell>
          <cell r="C135" t="str">
            <v xml:space="preserve">EA </v>
          </cell>
          <cell r="D135">
            <v>22</v>
          </cell>
        </row>
        <row r="136">
          <cell r="A136">
            <v>1018</v>
          </cell>
          <cell r="B136" t="str">
            <v>37” 1080p LCD HDTV</v>
          </cell>
          <cell r="C136" t="str">
            <v xml:space="preserve">EA </v>
          </cell>
          <cell r="D136">
            <v>21</v>
          </cell>
        </row>
        <row r="137">
          <cell r="A137">
            <v>1127</v>
          </cell>
          <cell r="B137" t="str">
            <v>Multi Tool Driver Set</v>
          </cell>
          <cell r="C137" t="str">
            <v xml:space="preserve">EA </v>
          </cell>
          <cell r="D137">
            <v>20</v>
          </cell>
        </row>
        <row r="138">
          <cell r="A138">
            <v>1132</v>
          </cell>
          <cell r="B138" t="str">
            <v>ntec G5700 Wii Wave Motion Sensing Controller</v>
          </cell>
          <cell r="C138" t="str">
            <v xml:space="preserve">EA </v>
          </cell>
          <cell r="D138">
            <v>19</v>
          </cell>
        </row>
        <row r="139">
          <cell r="A139">
            <v>1125</v>
          </cell>
          <cell r="B139" t="str">
            <v>Monitor-Acer</v>
          </cell>
          <cell r="C139" t="str">
            <v xml:space="preserve">EA </v>
          </cell>
          <cell r="D139">
            <v>18</v>
          </cell>
        </row>
        <row r="140">
          <cell r="A140">
            <v>1139</v>
          </cell>
          <cell r="B140" t="str">
            <v>Philips 6-Device Universal Remote for iPod</v>
          </cell>
          <cell r="C140" t="str">
            <v xml:space="preserve">EA </v>
          </cell>
          <cell r="D140">
            <v>18</v>
          </cell>
        </row>
        <row r="141">
          <cell r="A141">
            <v>1011</v>
          </cell>
          <cell r="B141" t="str">
            <v>1/4” Mini Ratchet</v>
          </cell>
          <cell r="C141" t="str">
            <v xml:space="preserve">EA </v>
          </cell>
          <cell r="D141">
            <v>17</v>
          </cell>
        </row>
        <row r="142">
          <cell r="A142">
            <v>1094</v>
          </cell>
          <cell r="B142" t="str">
            <v>Iron Gym with Ab Straps</v>
          </cell>
          <cell r="C142" t="str">
            <v xml:space="preserve">EA </v>
          </cell>
          <cell r="D142">
            <v>16</v>
          </cell>
        </row>
        <row r="143">
          <cell r="A143">
            <v>1126</v>
          </cell>
          <cell r="B143" t="str">
            <v>Motherboard- Asus</v>
          </cell>
          <cell r="C143" t="str">
            <v xml:space="preserve">EA </v>
          </cell>
          <cell r="D143">
            <v>16</v>
          </cell>
        </row>
        <row r="144">
          <cell r="A144">
            <v>1014</v>
          </cell>
          <cell r="B144" t="str">
            <v>12 Outlet Surge Protector</v>
          </cell>
          <cell r="C144" t="str">
            <v xml:space="preserve">EA </v>
          </cell>
          <cell r="D144">
            <v>15</v>
          </cell>
        </row>
        <row r="145">
          <cell r="A145">
            <v>1093</v>
          </cell>
          <cell r="B145" t="str">
            <v>iRhythm iPod Docking Speaker</v>
          </cell>
          <cell r="C145" t="str">
            <v xml:space="preserve">EA </v>
          </cell>
          <cell r="D145">
            <v>15</v>
          </cell>
        </row>
        <row r="146">
          <cell r="A146">
            <v>1012</v>
          </cell>
          <cell r="B146" t="str">
            <v>1080p LCD HDTV</v>
          </cell>
          <cell r="C146" t="str">
            <v xml:space="preserve">EA </v>
          </cell>
          <cell r="D146">
            <v>14</v>
          </cell>
        </row>
        <row r="147">
          <cell r="A147">
            <v>1013</v>
          </cell>
          <cell r="B147" t="str">
            <v>1080p Upconverting DVD Player</v>
          </cell>
          <cell r="C147" t="str">
            <v xml:space="preserve">EA </v>
          </cell>
          <cell r="D147">
            <v>13</v>
          </cell>
        </row>
        <row r="148">
          <cell r="A148">
            <v>1136</v>
          </cell>
          <cell r="B148" t="str">
            <v>Optoma PK301 Pico Projector</v>
          </cell>
          <cell r="C148" t="str">
            <v xml:space="preserve">EA </v>
          </cell>
          <cell r="D148">
            <v>13</v>
          </cell>
        </row>
        <row r="149">
          <cell r="A149">
            <v>1138</v>
          </cell>
          <cell r="B149" t="str">
            <v>Panasonic Speakers</v>
          </cell>
          <cell r="C149" t="str">
            <v xml:space="preserve">EA </v>
          </cell>
          <cell r="D149">
            <v>12</v>
          </cell>
        </row>
        <row r="150">
          <cell r="A150">
            <v>1140</v>
          </cell>
          <cell r="B150" t="str">
            <v>Philips Fidelio Docking Speakers for iPad</v>
          </cell>
          <cell r="C150" t="str">
            <v xml:space="preserve">EA </v>
          </cell>
          <cell r="D150">
            <v>12</v>
          </cell>
        </row>
        <row r="151">
          <cell r="A151">
            <v>1015</v>
          </cell>
          <cell r="B151" t="str">
            <v>12-in-1 Knife by SOG</v>
          </cell>
          <cell r="C151" t="str">
            <v xml:space="preserve">EA </v>
          </cell>
          <cell r="D151">
            <v>9</v>
          </cell>
        </row>
        <row r="152">
          <cell r="A152">
            <v>1100</v>
          </cell>
          <cell r="B152" t="str">
            <v>Kanen In-Ear Earbuds</v>
          </cell>
          <cell r="C152" t="str">
            <v xml:space="preserve">EA </v>
          </cell>
          <cell r="D152">
            <v>9</v>
          </cell>
        </row>
        <row r="153">
          <cell r="A153">
            <v>1017</v>
          </cell>
          <cell r="B153" t="str">
            <v>250GB Hard Drive for Xbox 360</v>
          </cell>
          <cell r="C153" t="str">
            <v xml:space="preserve">EA </v>
          </cell>
          <cell r="D153">
            <v>8</v>
          </cell>
        </row>
        <row r="154">
          <cell r="A154">
            <v>1019</v>
          </cell>
          <cell r="B154" t="str">
            <v>3-LED Push Light – 3 Pack</v>
          </cell>
          <cell r="C154" t="str">
            <v xml:space="preserve">EA </v>
          </cell>
          <cell r="D154">
            <v>7</v>
          </cell>
        </row>
        <row r="155">
          <cell r="A155">
            <v>1089</v>
          </cell>
          <cell r="B155" t="str">
            <v>Intel Dual Core Notebook</v>
          </cell>
          <cell r="C155" t="str">
            <v xml:space="preserve">EA </v>
          </cell>
          <cell r="D155">
            <v>6</v>
          </cell>
        </row>
        <row r="156">
          <cell r="A156">
            <v>1095</v>
          </cell>
          <cell r="B156" t="str">
            <v>Isolation Stereo Earphones</v>
          </cell>
          <cell r="C156" t="str">
            <v xml:space="preserve">EA </v>
          </cell>
          <cell r="D156">
            <v>6</v>
          </cell>
        </row>
        <row r="157">
          <cell r="A157">
            <v>1099</v>
          </cell>
          <cell r="B157" t="str">
            <v>Joystick</v>
          </cell>
          <cell r="C157" t="str">
            <v xml:space="preserve">EA </v>
          </cell>
          <cell r="D157">
            <v>6</v>
          </cell>
        </row>
        <row r="158">
          <cell r="A158">
            <v>1080</v>
          </cell>
          <cell r="B158" t="str">
            <v>HP Pavilion Quad Core</v>
          </cell>
          <cell r="C158" t="str">
            <v xml:space="preserve">EA </v>
          </cell>
          <cell r="D158">
            <v>5</v>
          </cell>
        </row>
        <row r="159">
          <cell r="A159">
            <v>1096</v>
          </cell>
          <cell r="B159" t="str">
            <v>Isotoner Ladies Suede Gloves</v>
          </cell>
          <cell r="C159" t="str">
            <v xml:space="preserve">EA </v>
          </cell>
          <cell r="D159">
            <v>5</v>
          </cell>
        </row>
        <row r="160">
          <cell r="A160">
            <v>1137</v>
          </cell>
          <cell r="B160" t="str">
            <v>Orka V-Blade Mandoline</v>
          </cell>
          <cell r="C160" t="str">
            <v xml:space="preserve">EA </v>
          </cell>
          <cell r="D160">
            <v>5</v>
          </cell>
        </row>
        <row r="161">
          <cell r="A161">
            <v>1141</v>
          </cell>
          <cell r="B161" t="str">
            <v>Philips Foldable HDMI Adapter w/24k Gold Plating</v>
          </cell>
          <cell r="C161" t="str">
            <v xml:space="preserve">EA </v>
          </cell>
          <cell r="D161">
            <v>5</v>
          </cell>
        </row>
        <row r="162">
          <cell r="A162">
            <v>1071</v>
          </cell>
          <cell r="B162" t="str">
            <v>Harbinger Sporting Gloves</v>
          </cell>
          <cell r="C162" t="str">
            <v xml:space="preserve">EA </v>
          </cell>
          <cell r="D162">
            <v>4</v>
          </cell>
        </row>
        <row r="163">
          <cell r="A163">
            <v>1084</v>
          </cell>
          <cell r="B163" t="str">
            <v>Hype USB Tape to MP3 Converter</v>
          </cell>
          <cell r="C163" t="str">
            <v xml:space="preserve">EA </v>
          </cell>
          <cell r="D163">
            <v>4</v>
          </cell>
        </row>
        <row r="164">
          <cell r="A164">
            <v>1072</v>
          </cell>
          <cell r="B164" t="str">
            <v>Harddisk</v>
          </cell>
          <cell r="C164" t="str">
            <v xml:space="preserve">EA </v>
          </cell>
          <cell r="D164">
            <v>3</v>
          </cell>
        </row>
        <row r="165">
          <cell r="A165">
            <v>1073</v>
          </cell>
          <cell r="B165" t="str">
            <v>HD DLP Projector</v>
          </cell>
          <cell r="C165" t="str">
            <v xml:space="preserve">EA </v>
          </cell>
          <cell r="D165">
            <v>3</v>
          </cell>
        </row>
        <row r="166">
          <cell r="A166">
            <v>1079</v>
          </cell>
          <cell r="B166" t="str">
            <v>HP Pavilion Elite Quad Core Desktop</v>
          </cell>
          <cell r="C166" t="str">
            <v xml:space="preserve">EA </v>
          </cell>
          <cell r="D166">
            <v>3</v>
          </cell>
        </row>
        <row r="167">
          <cell r="A167">
            <v>1081</v>
          </cell>
          <cell r="B167" t="str">
            <v>HP Pavilion Quad Core Desktop</v>
          </cell>
          <cell r="C167" t="str">
            <v xml:space="preserve">EA </v>
          </cell>
          <cell r="D167">
            <v>3</v>
          </cell>
        </row>
        <row r="168">
          <cell r="A168">
            <v>1101</v>
          </cell>
          <cell r="B168" t="str">
            <v>Keyboard</v>
          </cell>
          <cell r="C168" t="str">
            <v xml:space="preserve">RL </v>
          </cell>
          <cell r="D168">
            <v>3</v>
          </cell>
        </row>
        <row r="169">
          <cell r="A169">
            <v>1108</v>
          </cell>
          <cell r="B169" t="str">
            <v>Logitech CordlessWave Keyboard &amp; Mouse Combo</v>
          </cell>
          <cell r="C169" t="str">
            <v xml:space="preserve">EA </v>
          </cell>
          <cell r="D169">
            <v>3</v>
          </cell>
        </row>
        <row r="170">
          <cell r="A170">
            <v>1110</v>
          </cell>
          <cell r="B170" t="str">
            <v>Mac Air</v>
          </cell>
          <cell r="C170" t="str">
            <v xml:space="preserve">EA </v>
          </cell>
          <cell r="D170">
            <v>3</v>
          </cell>
        </row>
        <row r="171">
          <cell r="A171">
            <v>1114</v>
          </cell>
          <cell r="B171" t="str">
            <v>M-Audio KeyStudio 25 Keyboard</v>
          </cell>
          <cell r="C171" t="str">
            <v xml:space="preserve">EA </v>
          </cell>
          <cell r="D171">
            <v>3</v>
          </cell>
        </row>
        <row r="172">
          <cell r="A172">
            <v>1116</v>
          </cell>
          <cell r="B172" t="str">
            <v>M-Audio Torq Mixlab</v>
          </cell>
          <cell r="C172" t="str">
            <v xml:space="preserve">EA </v>
          </cell>
          <cell r="D172">
            <v>3</v>
          </cell>
        </row>
        <row r="173">
          <cell r="A173">
            <v>1118</v>
          </cell>
          <cell r="B173" t="str">
            <v>MEElectronics In-Ear Earbuds</v>
          </cell>
          <cell r="C173" t="str">
            <v xml:space="preserve">EA </v>
          </cell>
          <cell r="D173">
            <v>3</v>
          </cell>
        </row>
        <row r="174">
          <cell r="A174">
            <v>1119</v>
          </cell>
          <cell r="B174" t="str">
            <v>Memorex 12' High Speed HDMI Cable</v>
          </cell>
          <cell r="C174" t="str">
            <v xml:space="preserve">EA </v>
          </cell>
          <cell r="D174">
            <v>3</v>
          </cell>
        </row>
        <row r="175">
          <cell r="A175">
            <v>1149</v>
          </cell>
          <cell r="B175" t="str">
            <v>Pioneer Home Theater DVD Speaker</v>
          </cell>
          <cell r="C175" t="str">
            <v xml:space="preserve">EA </v>
          </cell>
          <cell r="D175">
            <v>3</v>
          </cell>
        </row>
        <row r="176">
          <cell r="A176">
            <v>1074</v>
          </cell>
          <cell r="B176" t="str">
            <v>Headphone</v>
          </cell>
          <cell r="C176" t="str">
            <v xml:space="preserve">EA </v>
          </cell>
          <cell r="D176">
            <v>2</v>
          </cell>
        </row>
        <row r="177">
          <cell r="A177">
            <v>1077</v>
          </cell>
          <cell r="B177" t="str">
            <v>Home Theatre Install Kit</v>
          </cell>
          <cell r="C177" t="str">
            <v xml:space="preserve">EA </v>
          </cell>
          <cell r="D177">
            <v>2</v>
          </cell>
        </row>
        <row r="178">
          <cell r="A178">
            <v>1082</v>
          </cell>
          <cell r="B178" t="str">
            <v>HP Pavilion Quad Core Desktop PC</v>
          </cell>
          <cell r="C178" t="str">
            <v xml:space="preserve">EA </v>
          </cell>
          <cell r="D178">
            <v>2</v>
          </cell>
        </row>
        <row r="179">
          <cell r="A179">
            <v>1098</v>
          </cell>
          <cell r="B179" t="str">
            <v>Jolly Roger Door Mat</v>
          </cell>
          <cell r="C179" t="str">
            <v xml:space="preserve">EA </v>
          </cell>
          <cell r="D179">
            <v>2</v>
          </cell>
        </row>
        <row r="180">
          <cell r="A180">
            <v>1102</v>
          </cell>
          <cell r="B180" t="str">
            <v>Kodak 12 Megapixel Digital Camera</v>
          </cell>
          <cell r="C180" t="str">
            <v xml:space="preserve">EA </v>
          </cell>
          <cell r="D180">
            <v>2</v>
          </cell>
        </row>
        <row r="181">
          <cell r="A181">
            <v>1103</v>
          </cell>
          <cell r="B181" t="str">
            <v>Kodak ZX1 Pocket Video 720p Camcorder</v>
          </cell>
          <cell r="C181" t="str">
            <v xml:space="preserve">EA </v>
          </cell>
          <cell r="D181">
            <v>2</v>
          </cell>
        </row>
        <row r="182">
          <cell r="A182">
            <v>1107</v>
          </cell>
          <cell r="B182" t="str">
            <v>Lens telephoto</v>
          </cell>
          <cell r="C182" t="str">
            <v xml:space="preserve">EA </v>
          </cell>
          <cell r="D182">
            <v>2</v>
          </cell>
        </row>
        <row r="183">
          <cell r="A183">
            <v>1111</v>
          </cell>
          <cell r="B183" t="str">
            <v>Mac Pro</v>
          </cell>
          <cell r="C183" t="str">
            <v xml:space="preserve">EA </v>
          </cell>
          <cell r="D183">
            <v>2</v>
          </cell>
        </row>
        <row r="184">
          <cell r="A184">
            <v>1112</v>
          </cell>
          <cell r="B184" t="str">
            <v>Matsunichi 8" Digital Photo Frame</v>
          </cell>
          <cell r="C184" t="str">
            <v xml:space="preserve">EA </v>
          </cell>
          <cell r="D184">
            <v>2</v>
          </cell>
        </row>
        <row r="185">
          <cell r="A185">
            <v>1122</v>
          </cell>
          <cell r="B185" t="str">
            <v>Memorex Wi-Fi Connected Blu-ray Player</v>
          </cell>
          <cell r="C185" t="str">
            <v xml:space="preserve">EA </v>
          </cell>
          <cell r="D185">
            <v>2</v>
          </cell>
        </row>
        <row r="186">
          <cell r="A186">
            <v>1123</v>
          </cell>
          <cell r="B186" t="str">
            <v>Microchip</v>
          </cell>
          <cell r="C186" t="str">
            <v xml:space="preserve">EA </v>
          </cell>
          <cell r="D186">
            <v>2</v>
          </cell>
        </row>
        <row r="187">
          <cell r="A187">
            <v>1124</v>
          </cell>
          <cell r="B187" t="str">
            <v>Midland X-tra Talk 20 Mile GMRS Radio</v>
          </cell>
          <cell r="C187" t="str">
            <v xml:space="preserve">EA </v>
          </cell>
          <cell r="D187">
            <v>2</v>
          </cell>
        </row>
        <row r="188">
          <cell r="A188">
            <v>1145</v>
          </cell>
          <cell r="B188" t="str">
            <v>Philips Portable Speaker System</v>
          </cell>
          <cell r="C188" t="str">
            <v xml:space="preserve">EA </v>
          </cell>
          <cell r="D188">
            <v>2</v>
          </cell>
        </row>
        <row r="189">
          <cell r="A189">
            <v>1146</v>
          </cell>
          <cell r="B189" t="str">
            <v>Philips Pro Series 4' HDMI Cable</v>
          </cell>
          <cell r="C189" t="str">
            <v xml:space="preserve">EA </v>
          </cell>
          <cell r="D189">
            <v>2</v>
          </cell>
        </row>
        <row r="190">
          <cell r="A190">
            <v>1147</v>
          </cell>
          <cell r="B190" t="str">
            <v>Pico Projector</v>
          </cell>
          <cell r="C190" t="str">
            <v xml:space="preserve">EA </v>
          </cell>
          <cell r="D190">
            <v>2</v>
          </cell>
        </row>
        <row r="191">
          <cell r="A191">
            <v>1075</v>
          </cell>
          <cell r="B191" t="str">
            <v>Headphone Value Pack</v>
          </cell>
          <cell r="C191" t="str">
            <v xml:space="preserve">EA </v>
          </cell>
          <cell r="D191">
            <v>1</v>
          </cell>
        </row>
        <row r="192">
          <cell r="A192">
            <v>1076</v>
          </cell>
          <cell r="B192" t="str">
            <v>Hitachi SimpleNet Network USB</v>
          </cell>
          <cell r="C192" t="str">
            <v xml:space="preserve">EA </v>
          </cell>
          <cell r="D192">
            <v>1</v>
          </cell>
        </row>
        <row r="193">
          <cell r="A193">
            <v>1078</v>
          </cell>
          <cell r="B193" t="str">
            <v>HP Pavilion 17.3” Entertainment Laptop</v>
          </cell>
          <cell r="C193" t="str">
            <v xml:space="preserve">EA </v>
          </cell>
          <cell r="D193">
            <v>1</v>
          </cell>
        </row>
        <row r="194">
          <cell r="A194">
            <v>1083</v>
          </cell>
          <cell r="B194" t="str">
            <v>HP TouchSmart 23” All-In-One PC</v>
          </cell>
          <cell r="C194" t="str">
            <v xml:space="preserve">EA </v>
          </cell>
          <cell r="D194">
            <v>1</v>
          </cell>
        </row>
        <row r="195">
          <cell r="A195">
            <v>1085</v>
          </cell>
          <cell r="B195" t="str">
            <v>IBM think pad</v>
          </cell>
          <cell r="C195" t="str">
            <v xml:space="preserve">EA </v>
          </cell>
          <cell r="D195">
            <v>1</v>
          </cell>
        </row>
        <row r="196">
          <cell r="A196">
            <v>1086</v>
          </cell>
          <cell r="B196" t="str">
            <v>iHome Netbook Accessory Kit</v>
          </cell>
          <cell r="C196" t="str">
            <v xml:space="preserve">EA </v>
          </cell>
          <cell r="D196">
            <v>1</v>
          </cell>
        </row>
        <row r="197">
          <cell r="A197">
            <v>1097</v>
          </cell>
          <cell r="B197" t="str">
            <v>Isotoner Men’s Gloves</v>
          </cell>
          <cell r="C197" t="str">
            <v xml:space="preserve">EA </v>
          </cell>
          <cell r="D197">
            <v>1</v>
          </cell>
        </row>
        <row r="198">
          <cell r="A198">
            <v>1105</v>
          </cell>
          <cell r="B198" t="str">
            <v>Lens 18-55</v>
          </cell>
          <cell r="C198" t="str">
            <v xml:space="preserve">EA </v>
          </cell>
          <cell r="D198">
            <v>1</v>
          </cell>
        </row>
        <row r="199">
          <cell r="A199">
            <v>1109</v>
          </cell>
          <cell r="B199" t="str">
            <v>Lumix 14.1 MP Digital Camera</v>
          </cell>
          <cell r="C199" t="str">
            <v xml:space="preserve">EA </v>
          </cell>
          <cell r="D199">
            <v>1</v>
          </cell>
        </row>
        <row r="200">
          <cell r="A200">
            <v>1113</v>
          </cell>
          <cell r="B200" t="str">
            <v>M-Audio AV30 Studiophile Speakers</v>
          </cell>
          <cell r="C200" t="str">
            <v xml:space="preserve">EA </v>
          </cell>
          <cell r="D200">
            <v>1</v>
          </cell>
        </row>
        <row r="201">
          <cell r="A201">
            <v>1115</v>
          </cell>
          <cell r="B201" t="str">
            <v>M-Audio Studiophile Speakers</v>
          </cell>
          <cell r="C201" t="str">
            <v xml:space="preserve">EA </v>
          </cell>
          <cell r="D201">
            <v>1</v>
          </cell>
        </row>
        <row r="202">
          <cell r="A202">
            <v>1120</v>
          </cell>
          <cell r="B202" t="str">
            <v>Memorex 6-foot HDMI Cable</v>
          </cell>
          <cell r="C202" t="str">
            <v xml:space="preserve">EA </v>
          </cell>
          <cell r="D202">
            <v>1</v>
          </cell>
        </row>
        <row r="203">
          <cell r="A203">
            <v>1121</v>
          </cell>
          <cell r="B203" t="str">
            <v>Memorex Wi-Fi Connected</v>
          </cell>
          <cell r="C203" t="str">
            <v xml:space="preserve">EA </v>
          </cell>
          <cell r="D203">
            <v>1</v>
          </cell>
        </row>
        <row r="204">
          <cell r="A204">
            <v>1142</v>
          </cell>
          <cell r="B204" t="str">
            <v>Philips Home Theater</v>
          </cell>
          <cell r="C204" t="str">
            <v xml:space="preserve">EA </v>
          </cell>
          <cell r="D204">
            <v>1</v>
          </cell>
        </row>
        <row r="205">
          <cell r="A205">
            <v>1144</v>
          </cell>
          <cell r="B205" t="str">
            <v>Philips Portable DVD player with 9” LCD Screen</v>
          </cell>
          <cell r="C205" t="str">
            <v xml:space="preserve">EA </v>
          </cell>
          <cell r="D205">
            <v>1</v>
          </cell>
        </row>
        <row r="206">
          <cell r="A206">
            <v>1148</v>
          </cell>
          <cell r="B206" t="str">
            <v>Pioneer Dual iPod Dock Speaker System</v>
          </cell>
          <cell r="C206" t="str">
            <v xml:space="preserve">EA </v>
          </cell>
          <cell r="D206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e Mason" refreshedDate="45977.82347476852" createdVersion="8" refreshedVersion="8" minRefreshableVersion="3" recordCount="205" xr:uid="{82E708F5-E848-4059-96F3-88108BF28B86}">
  <cacheSource type="worksheet">
    <worksheetSource ref="C1:D206" sheet="Sales Summary"/>
  </cacheSource>
  <cacheFields count="2">
    <cacheField name="Sales ($)" numFmtId="0">
      <sharedItems containsSemiMixedTypes="0" containsString="0" containsNumber="1" containsInteger="1" minValue="675" maxValue="9328940"/>
    </cacheField>
    <cacheField name="Final Rank" numFmtId="0">
      <sharedItems count="4">
        <s v="A"/>
        <s v="B"/>
        <s v="C"/>
        <s v="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e Mason" refreshedDate="45977.824466087965" createdVersion="8" refreshedVersion="8" minRefreshableVersion="3" recordCount="205" xr:uid="{051AEAF7-1787-41AE-859A-3492CCEF4083}">
  <cacheSource type="worksheet">
    <worksheetSource ref="G1:G206" sheet="ABC Calc"/>
  </cacheSource>
  <cacheFields count="1">
    <cacheField name="Final Rank" numFmtId="0">
      <sharedItems count="4">
        <s v="A"/>
        <s v="B"/>
        <s v="C"/>
        <s v="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n v="9328940"/>
    <x v="0"/>
  </r>
  <r>
    <n v="7202900"/>
    <x v="0"/>
  </r>
  <r>
    <n v="7055100"/>
    <x v="0"/>
  </r>
  <r>
    <n v="5761300"/>
    <x v="0"/>
  </r>
  <r>
    <n v="4084200"/>
    <x v="0"/>
  </r>
  <r>
    <n v="3572000"/>
    <x v="0"/>
  </r>
  <r>
    <n v="2284800"/>
    <x v="0"/>
  </r>
  <r>
    <n v="1938300"/>
    <x v="0"/>
  </r>
  <r>
    <n v="1804600"/>
    <x v="0"/>
  </r>
  <r>
    <n v="1716660"/>
    <x v="0"/>
  </r>
  <r>
    <n v="1707200"/>
    <x v="0"/>
  </r>
  <r>
    <n v="1489744"/>
    <x v="0"/>
  </r>
  <r>
    <n v="1302104"/>
    <x v="0"/>
  </r>
  <r>
    <n v="1161050"/>
    <x v="0"/>
  </r>
  <r>
    <n v="1067200"/>
    <x v="1"/>
  </r>
  <r>
    <n v="1057500"/>
    <x v="1"/>
  </r>
  <r>
    <n v="974100"/>
    <x v="0"/>
  </r>
  <r>
    <n v="896000"/>
    <x v="1"/>
  </r>
  <r>
    <n v="873988"/>
    <x v="1"/>
  </r>
  <r>
    <n v="541404"/>
    <x v="1"/>
  </r>
  <r>
    <n v="538920"/>
    <x v="0"/>
  </r>
  <r>
    <n v="534391"/>
    <x v="1"/>
  </r>
  <r>
    <n v="526904"/>
    <x v="1"/>
  </r>
  <r>
    <n v="519498"/>
    <x v="0"/>
  </r>
  <r>
    <n v="509922"/>
    <x v="1"/>
  </r>
  <r>
    <n v="499320"/>
    <x v="1"/>
  </r>
  <r>
    <n v="497028"/>
    <x v="1"/>
  </r>
  <r>
    <n v="493924"/>
    <x v="0"/>
  </r>
  <r>
    <n v="488870"/>
    <x v="1"/>
  </r>
  <r>
    <n v="486772"/>
    <x v="0"/>
  </r>
  <r>
    <n v="482160"/>
    <x v="1"/>
  </r>
  <r>
    <n v="478315"/>
    <x v="0"/>
  </r>
  <r>
    <n v="453944"/>
    <x v="1"/>
  </r>
  <r>
    <n v="453600"/>
    <x v="0"/>
  </r>
  <r>
    <n v="435825"/>
    <x v="1"/>
  </r>
  <r>
    <n v="434910"/>
    <x v="0"/>
  </r>
  <r>
    <n v="433770"/>
    <x v="1"/>
  </r>
  <r>
    <n v="432960"/>
    <x v="2"/>
  </r>
  <r>
    <n v="429186"/>
    <x v="1"/>
  </r>
  <r>
    <n v="418400"/>
    <x v="1"/>
  </r>
  <r>
    <n v="400200"/>
    <x v="3"/>
  </r>
  <r>
    <n v="398620"/>
    <x v="2"/>
  </r>
  <r>
    <n v="397224"/>
    <x v="2"/>
  </r>
  <r>
    <n v="397182"/>
    <x v="2"/>
  </r>
  <r>
    <n v="391300"/>
    <x v="2"/>
  </r>
  <r>
    <n v="390494"/>
    <x v="2"/>
  </r>
  <r>
    <n v="389515"/>
    <x v="2"/>
  </r>
  <r>
    <n v="385671"/>
    <x v="2"/>
  </r>
  <r>
    <n v="385592"/>
    <x v="2"/>
  </r>
  <r>
    <n v="373932"/>
    <x v="2"/>
  </r>
  <r>
    <n v="366485"/>
    <x v="2"/>
  </r>
  <r>
    <n v="361449"/>
    <x v="2"/>
  </r>
  <r>
    <n v="361242"/>
    <x v="2"/>
  </r>
  <r>
    <n v="359996"/>
    <x v="2"/>
  </r>
  <r>
    <n v="359090"/>
    <x v="2"/>
  </r>
  <r>
    <n v="355945"/>
    <x v="2"/>
  </r>
  <r>
    <n v="343962"/>
    <x v="2"/>
  </r>
  <r>
    <n v="332866"/>
    <x v="2"/>
  </r>
  <r>
    <n v="324880"/>
    <x v="2"/>
  </r>
  <r>
    <n v="322536"/>
    <x v="2"/>
  </r>
  <r>
    <n v="312120"/>
    <x v="2"/>
  </r>
  <r>
    <n v="307710"/>
    <x v="2"/>
  </r>
  <r>
    <n v="305085"/>
    <x v="1"/>
  </r>
  <r>
    <n v="303303"/>
    <x v="3"/>
  </r>
  <r>
    <n v="297000"/>
    <x v="3"/>
  </r>
  <r>
    <n v="290200"/>
    <x v="3"/>
  </r>
  <r>
    <n v="284481"/>
    <x v="3"/>
  </r>
  <r>
    <n v="277506"/>
    <x v="3"/>
  </r>
  <r>
    <n v="273600"/>
    <x v="3"/>
  </r>
  <r>
    <n v="251685"/>
    <x v="3"/>
  </r>
  <r>
    <n v="247086"/>
    <x v="3"/>
  </r>
  <r>
    <n v="242202"/>
    <x v="3"/>
  </r>
  <r>
    <n v="232300"/>
    <x v="3"/>
  </r>
  <r>
    <n v="232290"/>
    <x v="3"/>
  </r>
  <r>
    <n v="230621"/>
    <x v="3"/>
  </r>
  <r>
    <n v="229086"/>
    <x v="3"/>
  </r>
  <r>
    <n v="204960"/>
    <x v="3"/>
  </r>
  <r>
    <n v="197100"/>
    <x v="3"/>
  </r>
  <r>
    <n v="194469"/>
    <x v="3"/>
  </r>
  <r>
    <n v="184092"/>
    <x v="3"/>
  </r>
  <r>
    <n v="176344"/>
    <x v="3"/>
  </r>
  <r>
    <n v="159132"/>
    <x v="3"/>
  </r>
  <r>
    <n v="146853"/>
    <x v="3"/>
  </r>
  <r>
    <n v="136890"/>
    <x v="3"/>
  </r>
  <r>
    <n v="132559"/>
    <x v="3"/>
  </r>
  <r>
    <n v="127588"/>
    <x v="3"/>
  </r>
  <r>
    <n v="122265"/>
    <x v="2"/>
  </r>
  <r>
    <n v="107712"/>
    <x v="3"/>
  </r>
  <r>
    <n v="106330"/>
    <x v="3"/>
  </r>
  <r>
    <n v="102098"/>
    <x v="3"/>
  </r>
  <r>
    <n v="100646"/>
    <x v="3"/>
  </r>
  <r>
    <n v="98658"/>
    <x v="3"/>
  </r>
  <r>
    <n v="94866"/>
    <x v="3"/>
  </r>
  <r>
    <n v="88995"/>
    <x v="3"/>
  </r>
  <r>
    <n v="84420"/>
    <x v="3"/>
  </r>
  <r>
    <n v="82476"/>
    <x v="3"/>
  </r>
  <r>
    <n v="80845"/>
    <x v="3"/>
  </r>
  <r>
    <n v="78392"/>
    <x v="3"/>
  </r>
  <r>
    <n v="78300"/>
    <x v="3"/>
  </r>
  <r>
    <n v="74772"/>
    <x v="3"/>
  </r>
  <r>
    <n v="74538"/>
    <x v="3"/>
  </r>
  <r>
    <n v="68985"/>
    <x v="3"/>
  </r>
  <r>
    <n v="65000"/>
    <x v="3"/>
  </r>
  <r>
    <n v="63135"/>
    <x v="3"/>
  </r>
  <r>
    <n v="61548"/>
    <x v="3"/>
  </r>
  <r>
    <n v="61536"/>
    <x v="3"/>
  </r>
  <r>
    <n v="61380"/>
    <x v="3"/>
  </r>
  <r>
    <n v="59568"/>
    <x v="3"/>
  </r>
  <r>
    <n v="57350"/>
    <x v="3"/>
  </r>
  <r>
    <n v="55440"/>
    <x v="3"/>
  </r>
  <r>
    <n v="55200"/>
    <x v="3"/>
  </r>
  <r>
    <n v="54188"/>
    <x v="3"/>
  </r>
  <r>
    <n v="53000"/>
    <x v="3"/>
  </r>
  <r>
    <n v="52488"/>
    <x v="3"/>
  </r>
  <r>
    <n v="52136"/>
    <x v="3"/>
  </r>
  <r>
    <n v="47304"/>
    <x v="3"/>
  </r>
  <r>
    <n v="41310"/>
    <x v="3"/>
  </r>
  <r>
    <n v="39294"/>
    <x v="3"/>
  </r>
  <r>
    <n v="38226"/>
    <x v="3"/>
  </r>
  <r>
    <n v="35805"/>
    <x v="3"/>
  </r>
  <r>
    <n v="32400"/>
    <x v="3"/>
  </r>
  <r>
    <n v="32130"/>
    <x v="3"/>
  </r>
  <r>
    <n v="31878"/>
    <x v="3"/>
  </r>
  <r>
    <n v="31093"/>
    <x v="3"/>
  </r>
  <r>
    <n v="30900"/>
    <x v="3"/>
  </r>
  <r>
    <n v="30525"/>
    <x v="3"/>
  </r>
  <r>
    <n v="29757"/>
    <x v="3"/>
  </r>
  <r>
    <n v="29440"/>
    <x v="3"/>
  </r>
  <r>
    <n v="29187"/>
    <x v="3"/>
  </r>
  <r>
    <n v="26884"/>
    <x v="3"/>
  </r>
  <r>
    <n v="26260"/>
    <x v="3"/>
  </r>
  <r>
    <n v="25650"/>
    <x v="3"/>
  </r>
  <r>
    <n v="24705"/>
    <x v="3"/>
  </r>
  <r>
    <n v="22302"/>
    <x v="3"/>
  </r>
  <r>
    <n v="21600"/>
    <x v="3"/>
  </r>
  <r>
    <n v="18225"/>
    <x v="3"/>
  </r>
  <r>
    <n v="17876"/>
    <x v="3"/>
  </r>
  <r>
    <n v="17685"/>
    <x v="3"/>
  </r>
  <r>
    <n v="17250"/>
    <x v="3"/>
  </r>
  <r>
    <n v="16125"/>
    <x v="3"/>
  </r>
  <r>
    <n v="15960"/>
    <x v="3"/>
  </r>
  <r>
    <n v="14756"/>
    <x v="3"/>
  </r>
  <r>
    <n v="14476"/>
    <x v="3"/>
  </r>
  <r>
    <n v="14276"/>
    <x v="3"/>
  </r>
  <r>
    <n v="13975"/>
    <x v="3"/>
  </r>
  <r>
    <n v="12964"/>
    <x v="3"/>
  </r>
  <r>
    <n v="12597"/>
    <x v="3"/>
  </r>
  <r>
    <n v="12274"/>
    <x v="3"/>
  </r>
  <r>
    <n v="10794"/>
    <x v="3"/>
  </r>
  <r>
    <n v="10530"/>
    <x v="3"/>
  </r>
  <r>
    <n v="10244"/>
    <x v="3"/>
  </r>
  <r>
    <n v="10024"/>
    <x v="3"/>
  </r>
  <r>
    <n v="9198"/>
    <x v="3"/>
  </r>
  <r>
    <n v="8569"/>
    <x v="3"/>
  </r>
  <r>
    <n v="8388"/>
    <x v="3"/>
  </r>
  <r>
    <n v="7659"/>
    <x v="3"/>
  </r>
  <r>
    <n v="7648"/>
    <x v="3"/>
  </r>
  <r>
    <n v="7590"/>
    <x v="3"/>
  </r>
  <r>
    <n v="6790"/>
    <x v="3"/>
  </r>
  <r>
    <n v="6572"/>
    <x v="3"/>
  </r>
  <r>
    <n v="6556"/>
    <x v="3"/>
  </r>
  <r>
    <n v="6556"/>
    <x v="3"/>
  </r>
  <r>
    <n v="6536"/>
    <x v="3"/>
  </r>
  <r>
    <n v="6440"/>
    <x v="3"/>
  </r>
  <r>
    <n v="6439"/>
    <x v="3"/>
  </r>
  <r>
    <n v="6300"/>
    <x v="3"/>
  </r>
  <r>
    <n v="6210"/>
    <x v="3"/>
  </r>
  <r>
    <n v="6105"/>
    <x v="3"/>
  </r>
  <r>
    <n v="5805"/>
    <x v="3"/>
  </r>
  <r>
    <n v="5656"/>
    <x v="3"/>
  </r>
  <r>
    <n v="5524"/>
    <x v="3"/>
  </r>
  <r>
    <n v="5425"/>
    <x v="3"/>
  </r>
  <r>
    <n v="5320"/>
    <x v="3"/>
  </r>
  <r>
    <n v="5166"/>
    <x v="3"/>
  </r>
  <r>
    <n v="5166"/>
    <x v="3"/>
  </r>
  <r>
    <n v="5133"/>
    <x v="3"/>
  </r>
  <r>
    <n v="4888"/>
    <x v="3"/>
  </r>
  <r>
    <n v="4725"/>
    <x v="3"/>
  </r>
  <r>
    <n v="4648"/>
    <x v="3"/>
  </r>
  <r>
    <n v="4584"/>
    <x v="3"/>
  </r>
  <r>
    <n v="4389"/>
    <x v="3"/>
  </r>
  <r>
    <n v="4263"/>
    <x v="3"/>
  </r>
  <r>
    <n v="4200"/>
    <x v="3"/>
  </r>
  <r>
    <n v="4050"/>
    <x v="3"/>
  </r>
  <r>
    <n v="3978"/>
    <x v="3"/>
  </r>
  <r>
    <n v="3416"/>
    <x v="3"/>
  </r>
  <r>
    <n v="3075"/>
    <x v="3"/>
  </r>
  <r>
    <n v="3024"/>
    <x v="3"/>
  </r>
  <r>
    <n v="2960"/>
    <x v="3"/>
  </r>
  <r>
    <n v="2907"/>
    <x v="3"/>
  </r>
  <r>
    <n v="2839"/>
    <x v="3"/>
  </r>
  <r>
    <n v="2592"/>
    <x v="3"/>
  </r>
  <r>
    <n v="2500"/>
    <x v="3"/>
  </r>
  <r>
    <n v="2490"/>
    <x v="3"/>
  </r>
  <r>
    <n v="2330"/>
    <x v="3"/>
  </r>
  <r>
    <n v="2275"/>
    <x v="3"/>
  </r>
  <r>
    <n v="2235"/>
    <x v="3"/>
  </r>
  <r>
    <n v="2211"/>
    <x v="3"/>
  </r>
  <r>
    <n v="1830"/>
    <x v="3"/>
  </r>
  <r>
    <n v="1582"/>
    <x v="3"/>
  </r>
  <r>
    <n v="1580"/>
    <x v="3"/>
  </r>
  <r>
    <n v="1533"/>
    <x v="3"/>
  </r>
  <r>
    <n v="1368"/>
    <x v="3"/>
  </r>
  <r>
    <n v="1152"/>
    <x v="3"/>
  </r>
  <r>
    <n v="675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2"/>
  </r>
  <r>
    <x v="1"/>
  </r>
  <r>
    <x v="1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F53499-98F9-43AC-B441-E17BA6A3293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6" firstHeaderRow="1" firstDataRow="1" firstDataCol="1"/>
  <pivotFields count="1">
    <pivotField axis="axisRow" dataField="1"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Final Rank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423022-626A-436E-B3F8-D4ACA6C0E90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H6" firstHeaderRow="1" firstDataRow="1" firstDataCol="1"/>
  <pivotFields count="2">
    <pivotField dataField="1"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($)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6"/>
  <sheetViews>
    <sheetView workbookViewId="0">
      <selection activeCell="B187" sqref="B187"/>
    </sheetView>
  </sheetViews>
  <sheetFormatPr defaultRowHeight="15" x14ac:dyDescent="0.25"/>
  <cols>
    <col min="1" max="1" width="14.140625" customWidth="1"/>
    <col min="2" max="2" width="43" bestFit="1" customWidth="1"/>
    <col min="3" max="3" width="7.85546875" customWidth="1"/>
    <col min="4" max="4" width="14.85546875" customWidth="1"/>
    <col min="5" max="5" width="14.5703125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1" t="s">
        <v>208</v>
      </c>
      <c r="E1" s="1" t="s">
        <v>3</v>
      </c>
    </row>
    <row r="2" spans="1:5" x14ac:dyDescent="0.25">
      <c r="A2">
        <v>1090</v>
      </c>
      <c r="B2" t="s">
        <v>4</v>
      </c>
      <c r="C2" t="s">
        <v>5</v>
      </c>
      <c r="D2">
        <f>VLOOKUP(A2,[1]Sheet7!$F$4:$I$209,4,FALSE)</f>
        <v>9328940</v>
      </c>
      <c r="E2">
        <f>VLOOKUP(A2,[1]Hits!A$1:D$206,4,0)</f>
        <v>1780</v>
      </c>
    </row>
    <row r="3" spans="1:5" x14ac:dyDescent="0.25">
      <c r="A3">
        <v>1180</v>
      </c>
      <c r="B3" t="s">
        <v>6</v>
      </c>
      <c r="C3" t="s">
        <v>5</v>
      </c>
      <c r="D3">
        <f>VLOOKUP(A3,[1]Sheet7!$F$4:$I$209,4,FALSE)</f>
        <v>7202900</v>
      </c>
      <c r="E3">
        <f>VLOOKUP(A3,[1]Hits!A$1:D$206,4,0)</f>
        <v>75</v>
      </c>
    </row>
    <row r="4" spans="1:5" x14ac:dyDescent="0.25">
      <c r="A4">
        <v>1055</v>
      </c>
      <c r="B4" t="s">
        <v>7</v>
      </c>
      <c r="C4" t="s">
        <v>5</v>
      </c>
      <c r="D4">
        <f>VLOOKUP(A4,[1]Sheet7!$F$4:$I$209,4,FALSE)</f>
        <v>7055100</v>
      </c>
      <c r="E4">
        <f>VLOOKUP(A4,[1]Hits!A$1:D$206,4,0)</f>
        <v>83</v>
      </c>
    </row>
    <row r="5" spans="1:5" x14ac:dyDescent="0.25">
      <c r="A5">
        <v>1054</v>
      </c>
      <c r="B5" t="s">
        <v>8</v>
      </c>
      <c r="C5" t="s">
        <v>5</v>
      </c>
      <c r="D5">
        <f>VLOOKUP(A5,[1]Sheet7!$F$4:$I$209,4,FALSE)</f>
        <v>5761300</v>
      </c>
      <c r="E5">
        <f>VLOOKUP(A5,[1]Hits!A$1:D$206,4,0)</f>
        <v>71</v>
      </c>
    </row>
    <row r="6" spans="1:5" x14ac:dyDescent="0.25">
      <c r="A6">
        <v>1092</v>
      </c>
      <c r="B6" t="s">
        <v>9</v>
      </c>
      <c r="C6" t="s">
        <v>5</v>
      </c>
      <c r="D6">
        <f>VLOOKUP(A6,[1]Sheet7!$F$4:$I$209,4,FALSE)</f>
        <v>4084200</v>
      </c>
      <c r="E6">
        <f>VLOOKUP(A6,[1]Hits!A$1:D$206,4,0)</f>
        <v>2064</v>
      </c>
    </row>
    <row r="7" spans="1:5" x14ac:dyDescent="0.25">
      <c r="A7">
        <v>1043</v>
      </c>
      <c r="B7" t="s">
        <v>10</v>
      </c>
      <c r="C7" t="s">
        <v>5</v>
      </c>
      <c r="D7">
        <f>VLOOKUP(A7,[1]Sheet7!$F$4:$I$209,4,FALSE)</f>
        <v>3572000</v>
      </c>
      <c r="E7">
        <f>VLOOKUP(A7,[1]Hits!A$1:D$206,4,0)</f>
        <v>468</v>
      </c>
    </row>
    <row r="8" spans="1:5" x14ac:dyDescent="0.25">
      <c r="A8">
        <v>1035</v>
      </c>
      <c r="B8" t="s">
        <v>11</v>
      </c>
      <c r="C8" t="s">
        <v>5</v>
      </c>
      <c r="D8">
        <f>VLOOKUP(A8,[1]Sheet7!$F$4:$I$209,4,FALSE)</f>
        <v>2284800</v>
      </c>
      <c r="E8">
        <f>VLOOKUP(A8,[1]Hits!A$1:D$206,4,0)</f>
        <v>75</v>
      </c>
    </row>
    <row r="9" spans="1:5" x14ac:dyDescent="0.25">
      <c r="A9">
        <v>1155</v>
      </c>
      <c r="B9" t="s">
        <v>12</v>
      </c>
      <c r="C9" t="s">
        <v>5</v>
      </c>
      <c r="D9">
        <f>VLOOKUP(A9,[1]Sheet7!$F$4:$I$209,4,FALSE)</f>
        <v>1938300</v>
      </c>
      <c r="E9">
        <f>VLOOKUP(A9,[1]Hits!A$1:D$206,4,0)</f>
        <v>94</v>
      </c>
    </row>
    <row r="10" spans="1:5" x14ac:dyDescent="0.25">
      <c r="A10">
        <v>1198</v>
      </c>
      <c r="B10" t="s">
        <v>13</v>
      </c>
      <c r="C10" t="s">
        <v>5</v>
      </c>
      <c r="D10">
        <f>VLOOKUP(A10,[1]Sheet7!$F$4:$I$209,4,FALSE)</f>
        <v>1804600</v>
      </c>
      <c r="E10">
        <f>VLOOKUP(A10,[1]Hits!A$1:D$206,4,0)</f>
        <v>537</v>
      </c>
    </row>
    <row r="11" spans="1:5" x14ac:dyDescent="0.25">
      <c r="A11">
        <v>1178</v>
      </c>
      <c r="B11" t="s">
        <v>14</v>
      </c>
      <c r="C11" t="s">
        <v>5</v>
      </c>
      <c r="D11">
        <f>VLOOKUP(A11,[1]Sheet7!$F$4:$I$209,4,FALSE)</f>
        <v>1716660</v>
      </c>
      <c r="E11">
        <f>VLOOKUP(A11,[1]Hits!A$1:D$206,4,0)</f>
        <v>661</v>
      </c>
    </row>
    <row r="12" spans="1:5" x14ac:dyDescent="0.25">
      <c r="A12">
        <v>1193</v>
      </c>
      <c r="B12" t="s">
        <v>15</v>
      </c>
      <c r="C12" t="s">
        <v>5</v>
      </c>
      <c r="D12">
        <f>VLOOKUP(A12,[1]Sheet7!$F$4:$I$209,4,FALSE)</f>
        <v>1707200</v>
      </c>
      <c r="E12">
        <f>VLOOKUP(A12,[1]Hits!A$1:D$206,4,0)</f>
        <v>95</v>
      </c>
    </row>
    <row r="13" spans="1:5" x14ac:dyDescent="0.25">
      <c r="A13">
        <v>1170</v>
      </c>
      <c r="B13" t="s">
        <v>16</v>
      </c>
      <c r="C13" t="s">
        <v>5</v>
      </c>
      <c r="D13">
        <f>VLOOKUP(A13,[1]Sheet7!$F$4:$I$209,4,FALSE)</f>
        <v>1489744</v>
      </c>
      <c r="E13">
        <f>VLOOKUP(A13,[1]Hits!A$1:D$206,4,0)</f>
        <v>764</v>
      </c>
    </row>
    <row r="14" spans="1:5" x14ac:dyDescent="0.25">
      <c r="A14">
        <v>1196</v>
      </c>
      <c r="B14" t="s">
        <v>17</v>
      </c>
      <c r="C14" t="s">
        <v>5</v>
      </c>
      <c r="D14">
        <f>VLOOKUP(A14,[1]Sheet7!$F$4:$I$209,4,FALSE)</f>
        <v>1302104</v>
      </c>
      <c r="E14">
        <f>VLOOKUP(A14,[1]Hits!A$1:D$206,4,0)</f>
        <v>784</v>
      </c>
    </row>
    <row r="15" spans="1:5" x14ac:dyDescent="0.25">
      <c r="A15">
        <v>1205</v>
      </c>
      <c r="B15" t="s">
        <v>18</v>
      </c>
      <c r="C15" t="s">
        <v>5</v>
      </c>
      <c r="D15">
        <f>VLOOKUP(A15,[1]Sheet7!$F$4:$I$209,4,FALSE)</f>
        <v>1161050</v>
      </c>
      <c r="E15">
        <f>VLOOKUP(A15,[1]Hits!A$1:D$206,4,0)</f>
        <v>545</v>
      </c>
    </row>
    <row r="16" spans="1:5" x14ac:dyDescent="0.25">
      <c r="A16">
        <v>1215</v>
      </c>
      <c r="B16" t="s">
        <v>19</v>
      </c>
      <c r="C16" t="s">
        <v>5</v>
      </c>
      <c r="D16">
        <f>VLOOKUP(A16,[1]Sheet7!$F$4:$I$209,4,FALSE)</f>
        <v>1067200</v>
      </c>
      <c r="E16">
        <f>VLOOKUP(A16,[1]Hits!A$1:D$206,4,0)</f>
        <v>92</v>
      </c>
    </row>
    <row r="17" spans="1:5" x14ac:dyDescent="0.25">
      <c r="A17">
        <v>1214</v>
      </c>
      <c r="B17" t="s">
        <v>20</v>
      </c>
      <c r="C17" t="s">
        <v>5</v>
      </c>
      <c r="D17">
        <f>VLOOKUP(A17,[1]Sheet7!$F$4:$I$209,4,FALSE)</f>
        <v>1057500</v>
      </c>
      <c r="E17">
        <f>VLOOKUP(A17,[1]Hits!A$1:D$206,4,0)</f>
        <v>94</v>
      </c>
    </row>
    <row r="18" spans="1:5" x14ac:dyDescent="0.25">
      <c r="A18">
        <v>1168</v>
      </c>
      <c r="B18" t="s">
        <v>21</v>
      </c>
      <c r="C18" t="s">
        <v>5</v>
      </c>
      <c r="D18">
        <f>VLOOKUP(A18,[1]Sheet7!$F$4:$I$209,4,FALSE)</f>
        <v>974100</v>
      </c>
      <c r="E18">
        <f>VLOOKUP(A18,[1]Hits!A$1:D$206,4,0)</f>
        <v>933</v>
      </c>
    </row>
    <row r="19" spans="1:5" x14ac:dyDescent="0.25">
      <c r="A19">
        <v>1213</v>
      </c>
      <c r="B19" t="s">
        <v>22</v>
      </c>
      <c r="C19" t="s">
        <v>5</v>
      </c>
      <c r="D19">
        <f>VLOOKUP(A19,[1]Sheet7!$F$4:$I$209,4,FALSE)</f>
        <v>896000</v>
      </c>
      <c r="E19">
        <f>VLOOKUP(A19,[1]Hits!A$1:D$206,4,0)</f>
        <v>97</v>
      </c>
    </row>
    <row r="20" spans="1:5" x14ac:dyDescent="0.25">
      <c r="A20">
        <v>1192</v>
      </c>
      <c r="B20" t="s">
        <v>23</v>
      </c>
      <c r="C20" t="s">
        <v>5</v>
      </c>
      <c r="D20">
        <f>VLOOKUP(A20,[1]Sheet7!$F$4:$I$209,4,FALSE)</f>
        <v>873988</v>
      </c>
      <c r="E20">
        <f>VLOOKUP(A20,[1]Hits!A$1:D$206,4,0)</f>
        <v>132</v>
      </c>
    </row>
    <row r="21" spans="1:5" x14ac:dyDescent="0.25">
      <c r="A21">
        <v>1161</v>
      </c>
      <c r="B21" t="s">
        <v>24</v>
      </c>
      <c r="C21" t="s">
        <v>5</v>
      </c>
      <c r="D21">
        <f>VLOOKUP(A21,[1]Sheet7!$F$4:$I$209,4,FALSE)</f>
        <v>541404</v>
      </c>
      <c r="E21">
        <f>VLOOKUP(A21,[1]Hits!A$1:D$206,4,0)</f>
        <v>79</v>
      </c>
    </row>
    <row r="22" spans="1:5" x14ac:dyDescent="0.25">
      <c r="A22">
        <v>1167</v>
      </c>
      <c r="B22" t="s">
        <v>25</v>
      </c>
      <c r="C22" t="s">
        <v>5</v>
      </c>
      <c r="D22">
        <f>VLOOKUP(A22,[1]Sheet7!$F$4:$I$209,4,FALSE)</f>
        <v>538920</v>
      </c>
      <c r="E22">
        <f>VLOOKUP(A22,[1]Hits!A$1:D$206,4,0)</f>
        <v>772</v>
      </c>
    </row>
    <row r="23" spans="1:5" x14ac:dyDescent="0.25">
      <c r="A23">
        <v>1207</v>
      </c>
      <c r="B23" t="s">
        <v>26</v>
      </c>
      <c r="C23" t="s">
        <v>5</v>
      </c>
      <c r="D23">
        <f>VLOOKUP(A23,[1]Sheet7!$F$4:$I$209,4,FALSE)</f>
        <v>534391</v>
      </c>
      <c r="E23">
        <f>VLOOKUP(A23,[1]Hits!A$1:D$206,4,0)</f>
        <v>92</v>
      </c>
    </row>
    <row r="24" spans="1:5" x14ac:dyDescent="0.25">
      <c r="A24">
        <v>1194</v>
      </c>
      <c r="B24" t="s">
        <v>27</v>
      </c>
      <c r="C24" t="s">
        <v>5</v>
      </c>
      <c r="D24">
        <f>VLOOKUP(A24,[1]Sheet7!$F$4:$I$209,4,FALSE)</f>
        <v>526904</v>
      </c>
      <c r="E24">
        <f>VLOOKUP(A24,[1]Hits!A$1:D$206,4,0)</f>
        <v>106</v>
      </c>
    </row>
    <row r="25" spans="1:5" x14ac:dyDescent="0.25">
      <c r="A25">
        <v>1179</v>
      </c>
      <c r="B25" t="s">
        <v>28</v>
      </c>
      <c r="C25" t="s">
        <v>5</v>
      </c>
      <c r="D25">
        <f>VLOOKUP(A25,[1]Sheet7!$F$4:$I$209,4,FALSE)</f>
        <v>519498</v>
      </c>
      <c r="E25">
        <f>VLOOKUP(A25,[1]Hits!A$1:D$206,4,0)</f>
        <v>455</v>
      </c>
    </row>
    <row r="26" spans="1:5" x14ac:dyDescent="0.25">
      <c r="A26">
        <v>1206</v>
      </c>
      <c r="B26" t="s">
        <v>29</v>
      </c>
      <c r="C26" t="s">
        <v>5</v>
      </c>
      <c r="D26">
        <f>VLOOKUP(A26,[1]Sheet7!$F$4:$I$209,4,FALSE)</f>
        <v>509922</v>
      </c>
      <c r="E26">
        <f>VLOOKUP(A26,[1]Hits!A$1:D$206,4,0)</f>
        <v>78</v>
      </c>
    </row>
    <row r="27" spans="1:5" x14ac:dyDescent="0.25">
      <c r="A27">
        <v>1166</v>
      </c>
      <c r="B27" t="s">
        <v>30</v>
      </c>
      <c r="C27" t="s">
        <v>5</v>
      </c>
      <c r="D27">
        <f>VLOOKUP(A27,[1]Sheet7!$F$4:$I$209,4,FALSE)</f>
        <v>499320</v>
      </c>
      <c r="E27">
        <f>VLOOKUP(A27,[1]Hits!A$1:D$206,4,0)</f>
        <v>345</v>
      </c>
    </row>
    <row r="28" spans="1:5" x14ac:dyDescent="0.25">
      <c r="A28">
        <v>1211</v>
      </c>
      <c r="B28" t="s">
        <v>31</v>
      </c>
      <c r="C28" t="s">
        <v>5</v>
      </c>
      <c r="D28">
        <f>VLOOKUP(A28,[1]Sheet7!$F$4:$I$209,4,FALSE)</f>
        <v>497028</v>
      </c>
      <c r="E28">
        <f>VLOOKUP(A28,[1]Hits!A$1:D$206,4,0)</f>
        <v>106</v>
      </c>
    </row>
    <row r="29" spans="1:5" x14ac:dyDescent="0.25">
      <c r="A29">
        <v>1171</v>
      </c>
      <c r="B29" t="s">
        <v>32</v>
      </c>
      <c r="C29" t="s">
        <v>5</v>
      </c>
      <c r="D29">
        <f>VLOOKUP(A29,[1]Sheet7!$F$4:$I$209,4,FALSE)</f>
        <v>493924</v>
      </c>
      <c r="E29">
        <f>VLOOKUP(A29,[1]Hits!A$1:D$206,4,0)</f>
        <v>564</v>
      </c>
    </row>
    <row r="30" spans="1:5" x14ac:dyDescent="0.25">
      <c r="A30">
        <v>1210</v>
      </c>
      <c r="B30" t="s">
        <v>33</v>
      </c>
      <c r="C30" t="s">
        <v>5</v>
      </c>
      <c r="D30">
        <f>VLOOKUP(A30,[1]Sheet7!$F$4:$I$209,4,FALSE)</f>
        <v>488870</v>
      </c>
      <c r="E30">
        <f>VLOOKUP(A30,[1]Hits!A$1:D$206,4,0)</f>
        <v>90</v>
      </c>
    </row>
    <row r="31" spans="1:5" x14ac:dyDescent="0.25">
      <c r="A31">
        <v>1201</v>
      </c>
      <c r="B31" t="s">
        <v>34</v>
      </c>
      <c r="C31" t="s">
        <v>5</v>
      </c>
      <c r="D31">
        <f>VLOOKUP(A31,[1]Sheet7!$F$4:$I$209,4,FALSE)</f>
        <v>486772</v>
      </c>
      <c r="E31">
        <f>VLOOKUP(A31,[1]Hits!A$1:D$206,4,0)</f>
        <v>465</v>
      </c>
    </row>
    <row r="32" spans="1:5" x14ac:dyDescent="0.25">
      <c r="A32">
        <v>1036</v>
      </c>
      <c r="B32" t="s">
        <v>35</v>
      </c>
      <c r="C32" t="s">
        <v>5</v>
      </c>
      <c r="D32">
        <f>VLOOKUP(A32,[1]Sheet7!$F$4:$I$209,4,FALSE)</f>
        <v>482160</v>
      </c>
      <c r="E32">
        <f>VLOOKUP(A32,[1]Hits!A$1:D$206,4,0)</f>
        <v>81</v>
      </c>
    </row>
    <row r="33" spans="1:5" x14ac:dyDescent="0.25">
      <c r="A33">
        <v>1165</v>
      </c>
      <c r="B33" t="s">
        <v>36</v>
      </c>
      <c r="C33" t="s">
        <v>5</v>
      </c>
      <c r="D33">
        <f>VLOOKUP(A33,[1]Sheet7!$F$4:$I$209,4,FALSE)</f>
        <v>478315</v>
      </c>
      <c r="E33">
        <f>VLOOKUP(A33,[1]Hits!A$1:D$206,4,0)</f>
        <v>491</v>
      </c>
    </row>
    <row r="34" spans="1:5" x14ac:dyDescent="0.25">
      <c r="A34">
        <v>1199</v>
      </c>
      <c r="B34" t="s">
        <v>37</v>
      </c>
      <c r="C34" t="s">
        <v>5</v>
      </c>
      <c r="D34">
        <f>VLOOKUP(A34,[1]Sheet7!$F$4:$I$209,4,FALSE)</f>
        <v>453944</v>
      </c>
      <c r="E34">
        <f>VLOOKUP(A34,[1]Hits!A$1:D$206,4,0)</f>
        <v>86</v>
      </c>
    </row>
    <row r="35" spans="1:5" x14ac:dyDescent="0.25">
      <c r="A35">
        <v>1091</v>
      </c>
      <c r="B35" t="s">
        <v>38</v>
      </c>
      <c r="C35" t="s">
        <v>5</v>
      </c>
      <c r="D35">
        <f>VLOOKUP(A35,[1]Sheet7!$F$4:$I$209,4,FALSE)</f>
        <v>453600</v>
      </c>
      <c r="E35">
        <f>VLOOKUP(A35,[1]Hits!A$1:D$206,4,0)</f>
        <v>948</v>
      </c>
    </row>
    <row r="36" spans="1:5" x14ac:dyDescent="0.25">
      <c r="A36">
        <v>1162</v>
      </c>
      <c r="B36" t="s">
        <v>39</v>
      </c>
      <c r="C36" t="s">
        <v>5</v>
      </c>
      <c r="D36">
        <f>VLOOKUP(A36,[1]Sheet7!$F$4:$I$209,4,FALSE)</f>
        <v>435825</v>
      </c>
      <c r="E36">
        <f>VLOOKUP(A36,[1]Hits!A$1:D$206,4,0)</f>
        <v>95</v>
      </c>
    </row>
    <row r="37" spans="1:5" x14ac:dyDescent="0.25">
      <c r="A37">
        <v>1176</v>
      </c>
      <c r="B37" t="s">
        <v>40</v>
      </c>
      <c r="C37" t="s">
        <v>5</v>
      </c>
      <c r="D37">
        <f>VLOOKUP(A37,[1]Sheet7!$F$4:$I$209,4,FALSE)</f>
        <v>434910</v>
      </c>
      <c r="E37">
        <f>VLOOKUP(A37,[1]Hits!A$1:D$206,4,0)</f>
        <v>438</v>
      </c>
    </row>
    <row r="38" spans="1:5" x14ac:dyDescent="0.25">
      <c r="A38">
        <v>1177</v>
      </c>
      <c r="B38" t="s">
        <v>41</v>
      </c>
      <c r="C38" t="s">
        <v>5</v>
      </c>
      <c r="D38">
        <f>VLOOKUP(A38,[1]Sheet7!$F$4:$I$209,4,FALSE)</f>
        <v>433770</v>
      </c>
      <c r="E38">
        <f>VLOOKUP(A38,[1]Hits!A$1:D$206,4,0)</f>
        <v>112</v>
      </c>
    </row>
    <row r="39" spans="1:5" x14ac:dyDescent="0.25">
      <c r="A39">
        <v>1037</v>
      </c>
      <c r="B39" t="s">
        <v>42</v>
      </c>
      <c r="C39" t="s">
        <v>5</v>
      </c>
      <c r="D39">
        <f>VLOOKUP(A39,[1]Sheet7!$F$4:$I$209,4,FALSE)</f>
        <v>432960</v>
      </c>
      <c r="E39">
        <f>VLOOKUP(A39,[1]Hits!A$1:D$206,4,0)</f>
        <v>55</v>
      </c>
    </row>
    <row r="40" spans="1:5" x14ac:dyDescent="0.25">
      <c r="A40">
        <v>1163</v>
      </c>
      <c r="B40" t="s">
        <v>39</v>
      </c>
      <c r="C40" t="s">
        <v>5</v>
      </c>
      <c r="D40">
        <f>VLOOKUP(A40,[1]Sheet7!$F$4:$I$209,4,FALSE)</f>
        <v>429186</v>
      </c>
      <c r="E40">
        <f>VLOOKUP(A40,[1]Hits!A$1:D$206,4,0)</f>
        <v>95</v>
      </c>
    </row>
    <row r="41" spans="1:5" x14ac:dyDescent="0.25">
      <c r="A41">
        <v>1202</v>
      </c>
      <c r="B41" t="s">
        <v>34</v>
      </c>
      <c r="C41" t="s">
        <v>5</v>
      </c>
      <c r="D41">
        <f>VLOOKUP(A41,[1]Sheet7!$F$4:$I$209,4,FALSE)</f>
        <v>418400</v>
      </c>
      <c r="E41">
        <f>VLOOKUP(A41,[1]Hits!A$1:D$206,4,0)</f>
        <v>80</v>
      </c>
    </row>
    <row r="42" spans="1:5" x14ac:dyDescent="0.25">
      <c r="A42">
        <v>1070</v>
      </c>
      <c r="B42" t="s">
        <v>43</v>
      </c>
      <c r="C42" t="s">
        <v>5</v>
      </c>
      <c r="D42">
        <f>VLOOKUP(A42,[1]Sheet7!$F$4:$I$209,4,FALSE)</f>
        <v>400200</v>
      </c>
      <c r="E42">
        <f>VLOOKUP(A42,[1]Hits!A$1:D$206,4,0)</f>
        <v>52</v>
      </c>
    </row>
    <row r="43" spans="1:5" x14ac:dyDescent="0.25">
      <c r="A43">
        <v>1209</v>
      </c>
      <c r="B43" t="s">
        <v>44</v>
      </c>
      <c r="C43" t="s">
        <v>5</v>
      </c>
      <c r="D43">
        <f>VLOOKUP(A43,[1]Sheet7!$F$4:$I$209,4,FALSE)</f>
        <v>398620</v>
      </c>
      <c r="E43">
        <f>VLOOKUP(A43,[1]Hits!A$1:D$206,4,0)</f>
        <v>81</v>
      </c>
    </row>
    <row r="44" spans="1:5" x14ac:dyDescent="0.25">
      <c r="A44">
        <v>1183</v>
      </c>
      <c r="B44" t="s">
        <v>45</v>
      </c>
      <c r="C44" t="s">
        <v>5</v>
      </c>
      <c r="D44">
        <f>VLOOKUP(A44,[1]Sheet7!$F$4:$I$209,4,FALSE)</f>
        <v>397224</v>
      </c>
      <c r="E44">
        <f>VLOOKUP(A44,[1]Hits!A$1:D$206,4,0)</f>
        <v>98</v>
      </c>
    </row>
    <row r="45" spans="1:5" x14ac:dyDescent="0.25">
      <c r="A45">
        <v>1172</v>
      </c>
      <c r="B45" t="s">
        <v>46</v>
      </c>
      <c r="C45" t="s">
        <v>5</v>
      </c>
      <c r="D45">
        <f>VLOOKUP(A45,[1]Sheet7!$F$4:$I$209,4,FALSE)</f>
        <v>397182</v>
      </c>
      <c r="E45">
        <f>VLOOKUP(A45,[1]Hits!A$1:D$206,4,0)</f>
        <v>85</v>
      </c>
    </row>
    <row r="46" spans="1:5" x14ac:dyDescent="0.25">
      <c r="A46">
        <v>1204</v>
      </c>
      <c r="B46" t="s">
        <v>47</v>
      </c>
      <c r="C46" t="s">
        <v>5</v>
      </c>
      <c r="D46">
        <f>VLOOKUP(A46,[1]Sheet7!$F$4:$I$209,4,FALSE)</f>
        <v>391300</v>
      </c>
      <c r="E46">
        <f>VLOOKUP(A46,[1]Hits!A$1:D$206,4,0)</f>
        <v>92</v>
      </c>
    </row>
    <row r="47" spans="1:5" x14ac:dyDescent="0.25">
      <c r="A47">
        <v>1203</v>
      </c>
      <c r="B47" t="s">
        <v>48</v>
      </c>
      <c r="C47" t="s">
        <v>5</v>
      </c>
      <c r="D47">
        <f>VLOOKUP(A47,[1]Sheet7!$F$4:$I$209,4,FALSE)</f>
        <v>390494</v>
      </c>
      <c r="E47">
        <f>VLOOKUP(A47,[1]Hits!A$1:D$206,4,0)</f>
        <v>92</v>
      </c>
    </row>
    <row r="48" spans="1:5" x14ac:dyDescent="0.25">
      <c r="A48">
        <v>1200</v>
      </c>
      <c r="B48" t="s">
        <v>49</v>
      </c>
      <c r="C48" t="s">
        <v>5</v>
      </c>
      <c r="D48">
        <f>VLOOKUP(A48,[1]Sheet7!$F$4:$I$209,4,FALSE)</f>
        <v>389515</v>
      </c>
      <c r="E48">
        <f>VLOOKUP(A48,[1]Hits!A$1:D$206,4,0)</f>
        <v>91</v>
      </c>
    </row>
    <row r="49" spans="1:5" x14ac:dyDescent="0.25">
      <c r="A49">
        <v>1169</v>
      </c>
      <c r="B49" t="s">
        <v>50</v>
      </c>
      <c r="C49" t="s">
        <v>5</v>
      </c>
      <c r="D49">
        <f>VLOOKUP(A49,[1]Sheet7!$F$4:$I$209,4,FALSE)</f>
        <v>385671</v>
      </c>
      <c r="E49">
        <f>VLOOKUP(A49,[1]Hits!A$1:D$206,4,0)</f>
        <v>94</v>
      </c>
    </row>
    <row r="50" spans="1:5" x14ac:dyDescent="0.25">
      <c r="A50">
        <v>1182</v>
      </c>
      <c r="B50" t="s">
        <v>51</v>
      </c>
      <c r="C50" t="s">
        <v>5</v>
      </c>
      <c r="D50">
        <f>VLOOKUP(A50,[1]Sheet7!$F$4:$I$209,4,FALSE)</f>
        <v>385592</v>
      </c>
      <c r="E50">
        <f>VLOOKUP(A50,[1]Hits!A$1:D$206,4,0)</f>
        <v>92</v>
      </c>
    </row>
    <row r="51" spans="1:5" x14ac:dyDescent="0.25">
      <c r="A51">
        <v>1187</v>
      </c>
      <c r="B51" t="s">
        <v>52</v>
      </c>
      <c r="C51" t="s">
        <v>5</v>
      </c>
      <c r="D51">
        <f>VLOOKUP(A51,[1]Sheet7!$F$4:$I$209,4,FALSE)</f>
        <v>373932</v>
      </c>
      <c r="E51">
        <f>VLOOKUP(A51,[1]Hits!A$1:D$206,4,0)</f>
        <v>97</v>
      </c>
    </row>
    <row r="52" spans="1:5" x14ac:dyDescent="0.25">
      <c r="A52">
        <v>1186</v>
      </c>
      <c r="B52" t="s">
        <v>53</v>
      </c>
      <c r="C52" t="s">
        <v>5</v>
      </c>
      <c r="D52">
        <f>VLOOKUP(A52,[1]Sheet7!$F$4:$I$209,4,FALSE)</f>
        <v>366485</v>
      </c>
      <c r="E52">
        <f>VLOOKUP(A52,[1]Hits!A$1:D$206,4,0)</f>
        <v>95</v>
      </c>
    </row>
    <row r="53" spans="1:5" x14ac:dyDescent="0.25">
      <c r="A53">
        <v>1160</v>
      </c>
      <c r="B53" t="s">
        <v>54</v>
      </c>
      <c r="C53" t="s">
        <v>5</v>
      </c>
      <c r="D53">
        <f>VLOOKUP(A53,[1]Sheet7!$F$4:$I$209,4,FALSE)</f>
        <v>361449</v>
      </c>
      <c r="E53">
        <f>VLOOKUP(A53,[1]Hits!A$1:D$206,4,0)</f>
        <v>95</v>
      </c>
    </row>
    <row r="54" spans="1:5" x14ac:dyDescent="0.25">
      <c r="A54">
        <v>1197</v>
      </c>
      <c r="B54" t="s">
        <v>55</v>
      </c>
      <c r="C54" t="s">
        <v>5</v>
      </c>
      <c r="D54">
        <f>VLOOKUP(A54,[1]Sheet7!$F$4:$I$209,4,FALSE)</f>
        <v>361242</v>
      </c>
      <c r="E54">
        <f>VLOOKUP(A54,[1]Hits!A$1:D$206,4,0)</f>
        <v>82</v>
      </c>
    </row>
    <row r="55" spans="1:5" x14ac:dyDescent="0.25">
      <c r="A55">
        <v>1174</v>
      </c>
      <c r="B55" t="s">
        <v>56</v>
      </c>
      <c r="C55" t="s">
        <v>5</v>
      </c>
      <c r="D55">
        <f>VLOOKUP(A55,[1]Sheet7!$F$4:$I$209,4,FALSE)</f>
        <v>359996</v>
      </c>
      <c r="E55">
        <f>VLOOKUP(A55,[1]Hits!A$1:D$206,4,0)</f>
        <v>91</v>
      </c>
    </row>
    <row r="56" spans="1:5" x14ac:dyDescent="0.25">
      <c r="A56">
        <v>1040</v>
      </c>
      <c r="B56" t="s">
        <v>57</v>
      </c>
      <c r="C56" t="s">
        <v>5</v>
      </c>
      <c r="D56">
        <f>VLOOKUP(A56,[1]Sheet7!$F$4:$I$209,4,FALSE)</f>
        <v>359090</v>
      </c>
      <c r="E56">
        <f>VLOOKUP(A56,[1]Hits!A$1:D$206,4,0)</f>
        <v>91</v>
      </c>
    </row>
    <row r="57" spans="1:5" x14ac:dyDescent="0.25">
      <c r="A57">
        <v>1173</v>
      </c>
      <c r="B57" t="s">
        <v>58</v>
      </c>
      <c r="C57" t="s">
        <v>5</v>
      </c>
      <c r="D57">
        <f>VLOOKUP(A57,[1]Sheet7!$F$4:$I$209,4,FALSE)</f>
        <v>355945</v>
      </c>
      <c r="E57">
        <f>VLOOKUP(A57,[1]Hits!A$1:D$206,4,0)</f>
        <v>99</v>
      </c>
    </row>
    <row r="58" spans="1:5" x14ac:dyDescent="0.25">
      <c r="A58">
        <v>1212</v>
      </c>
      <c r="B58" t="s">
        <v>59</v>
      </c>
      <c r="C58" t="s">
        <v>5</v>
      </c>
      <c r="D58">
        <f>VLOOKUP(A58,[1]Sheet7!$F$4:$I$209,4,FALSE)</f>
        <v>343962</v>
      </c>
      <c r="E58">
        <f>VLOOKUP(A58,[1]Hits!A$1:D$206,4,0)</f>
        <v>71</v>
      </c>
    </row>
    <row r="59" spans="1:5" x14ac:dyDescent="0.25">
      <c r="A59">
        <v>1181</v>
      </c>
      <c r="B59" t="s">
        <v>60</v>
      </c>
      <c r="C59" t="s">
        <v>5</v>
      </c>
      <c r="D59">
        <f>VLOOKUP(A59,[1]Sheet7!$F$4:$I$209,4,FALSE)</f>
        <v>332866</v>
      </c>
      <c r="E59">
        <f>VLOOKUP(A59,[1]Hits!A$1:D$206,4,0)</f>
        <v>85</v>
      </c>
    </row>
    <row r="60" spans="1:5" x14ac:dyDescent="0.25">
      <c r="A60">
        <v>1191</v>
      </c>
      <c r="B60" t="s">
        <v>61</v>
      </c>
      <c r="C60" t="s">
        <v>5</v>
      </c>
      <c r="D60">
        <f>VLOOKUP(A60,[1]Sheet7!$F$4:$I$209,4,FALSE)</f>
        <v>324880</v>
      </c>
      <c r="E60">
        <f>VLOOKUP(A60,[1]Hits!A$1:D$206,4,0)</f>
        <v>83</v>
      </c>
    </row>
    <row r="61" spans="1:5" x14ac:dyDescent="0.25">
      <c r="A61">
        <v>1185</v>
      </c>
      <c r="B61" t="s">
        <v>62</v>
      </c>
      <c r="C61" t="s">
        <v>5</v>
      </c>
      <c r="D61">
        <f>VLOOKUP(A61,[1]Sheet7!$F$4:$I$209,4,FALSE)</f>
        <v>322536</v>
      </c>
      <c r="E61">
        <f>VLOOKUP(A61,[1]Hits!A$1:D$206,4,0)</f>
        <v>78</v>
      </c>
    </row>
    <row r="62" spans="1:5" x14ac:dyDescent="0.25">
      <c r="A62">
        <v>1189</v>
      </c>
      <c r="B62" t="s">
        <v>63</v>
      </c>
      <c r="C62" t="s">
        <v>5</v>
      </c>
      <c r="D62">
        <f>VLOOKUP(A62,[1]Sheet7!$F$4:$I$209,4,FALSE)</f>
        <v>312120</v>
      </c>
      <c r="E62">
        <f>VLOOKUP(A62,[1]Hits!A$1:D$206,4,0)</f>
        <v>85</v>
      </c>
    </row>
    <row r="63" spans="1:5" x14ac:dyDescent="0.25">
      <c r="A63">
        <v>1195</v>
      </c>
      <c r="B63" t="s">
        <v>64</v>
      </c>
      <c r="C63" t="s">
        <v>5</v>
      </c>
      <c r="D63">
        <f>VLOOKUP(A63,[1]Sheet7!$F$4:$I$209,4,FALSE)</f>
        <v>307710</v>
      </c>
      <c r="E63">
        <f>VLOOKUP(A63,[1]Hits!A$1:D$206,4,0)</f>
        <v>86</v>
      </c>
    </row>
    <row r="64" spans="1:5" x14ac:dyDescent="0.25">
      <c r="A64">
        <v>1159</v>
      </c>
      <c r="B64" t="s">
        <v>65</v>
      </c>
      <c r="C64" t="s">
        <v>5</v>
      </c>
      <c r="D64">
        <f>VLOOKUP(A64,[1]Sheet7!$F$4:$I$209,4,FALSE)</f>
        <v>305085</v>
      </c>
      <c r="E64">
        <f>VLOOKUP(A64,[1]Hits!A$1:D$206,4,0)</f>
        <v>494</v>
      </c>
    </row>
    <row r="65" spans="1:5" x14ac:dyDescent="0.25">
      <c r="A65">
        <v>1150</v>
      </c>
      <c r="B65" t="s">
        <v>66</v>
      </c>
      <c r="C65" t="s">
        <v>5</v>
      </c>
      <c r="D65">
        <f>VLOOKUP(A65,[1]Sheet7!$F$4:$I$209,4,FALSE)</f>
        <v>303303</v>
      </c>
      <c r="E65">
        <f>VLOOKUP(A65,[1]Hits!A$1:D$206,4,0)</f>
        <v>97</v>
      </c>
    </row>
    <row r="66" spans="1:5" x14ac:dyDescent="0.25">
      <c r="A66">
        <v>1175</v>
      </c>
      <c r="B66" t="s">
        <v>67</v>
      </c>
      <c r="C66" t="s">
        <v>5</v>
      </c>
      <c r="D66">
        <f>VLOOKUP(A66,[1]Sheet7!$F$4:$I$209,4,FALSE)</f>
        <v>297000</v>
      </c>
      <c r="E66">
        <f>VLOOKUP(A66,[1]Hits!A$1:D$206,4,0)</f>
        <v>97</v>
      </c>
    </row>
    <row r="67" spans="1:5" x14ac:dyDescent="0.25">
      <c r="A67">
        <v>1151</v>
      </c>
      <c r="B67" t="s">
        <v>68</v>
      </c>
      <c r="C67" t="s">
        <v>5</v>
      </c>
      <c r="D67">
        <f>VLOOKUP(A67,[1]Sheet7!$F$4:$I$209,4,FALSE)</f>
        <v>290200</v>
      </c>
      <c r="E67">
        <f>VLOOKUP(A67,[1]Hits!A$1:D$206,4,0)</f>
        <v>98</v>
      </c>
    </row>
    <row r="68" spans="1:5" x14ac:dyDescent="0.25">
      <c r="A68">
        <v>1152</v>
      </c>
      <c r="B68" t="s">
        <v>69</v>
      </c>
      <c r="C68" t="s">
        <v>5</v>
      </c>
      <c r="D68">
        <f>VLOOKUP(A68,[1]Sheet7!$F$4:$I$209,4,FALSE)</f>
        <v>284481</v>
      </c>
      <c r="E68">
        <f>VLOOKUP(A68,[1]Hits!A$1:D$206,4,0)</f>
        <v>97</v>
      </c>
    </row>
    <row r="69" spans="1:5" x14ac:dyDescent="0.25">
      <c r="A69">
        <v>1156</v>
      </c>
      <c r="B69" t="s">
        <v>70</v>
      </c>
      <c r="C69" t="s">
        <v>5</v>
      </c>
      <c r="D69">
        <f>VLOOKUP(A69,[1]Sheet7!$F$4:$I$209,4,FALSE)</f>
        <v>277506</v>
      </c>
      <c r="E69">
        <f>VLOOKUP(A69,[1]Hits!A$1:D$206,4,0)</f>
        <v>105</v>
      </c>
    </row>
    <row r="70" spans="1:5" x14ac:dyDescent="0.25">
      <c r="A70">
        <v>1184</v>
      </c>
      <c r="B70" t="s">
        <v>71</v>
      </c>
      <c r="C70" t="s">
        <v>5</v>
      </c>
      <c r="D70">
        <f>VLOOKUP(A70,[1]Sheet7!$F$4:$I$209,4,FALSE)</f>
        <v>273600</v>
      </c>
      <c r="E70">
        <f>VLOOKUP(A70,[1]Hits!A$1:D$206,4,0)</f>
        <v>66</v>
      </c>
    </row>
    <row r="71" spans="1:5" x14ac:dyDescent="0.25">
      <c r="A71">
        <v>1208</v>
      </c>
      <c r="B71" t="s">
        <v>72</v>
      </c>
      <c r="C71" t="s">
        <v>5</v>
      </c>
      <c r="D71">
        <f>VLOOKUP(A71,[1]Sheet7!$F$4:$I$209,4,FALSE)</f>
        <v>251685</v>
      </c>
      <c r="E71">
        <f>VLOOKUP(A71,[1]Hits!A$1:D$206,4,0)</f>
        <v>61</v>
      </c>
    </row>
    <row r="72" spans="1:5" x14ac:dyDescent="0.25">
      <c r="A72">
        <v>1154</v>
      </c>
      <c r="B72" t="s">
        <v>73</v>
      </c>
      <c r="C72" t="s">
        <v>5</v>
      </c>
      <c r="D72">
        <f>VLOOKUP(A72,[1]Sheet7!$F$4:$I$209,4,FALSE)</f>
        <v>247086</v>
      </c>
      <c r="E72">
        <f>VLOOKUP(A72,[1]Hits!A$1:D$206,4,0)</f>
        <v>102</v>
      </c>
    </row>
    <row r="73" spans="1:5" x14ac:dyDescent="0.25">
      <c r="A73">
        <v>1157</v>
      </c>
      <c r="B73" t="s">
        <v>74</v>
      </c>
      <c r="C73" t="s">
        <v>5</v>
      </c>
      <c r="D73">
        <f>VLOOKUP(A73,[1]Sheet7!$F$4:$I$209,4,FALSE)</f>
        <v>242202</v>
      </c>
      <c r="E73">
        <f>VLOOKUP(A73,[1]Hits!A$1:D$206,4,0)</f>
        <v>76</v>
      </c>
    </row>
    <row r="74" spans="1:5" x14ac:dyDescent="0.25">
      <c r="A74">
        <v>1021</v>
      </c>
      <c r="B74" t="s">
        <v>75</v>
      </c>
      <c r="C74" t="s">
        <v>5</v>
      </c>
      <c r="D74">
        <f>VLOOKUP(A74,[1]Sheet7!$F$4:$I$209,4,FALSE)</f>
        <v>232300</v>
      </c>
      <c r="E74">
        <f>VLOOKUP(A74,[1]Hits!A$1:D$206,4,0)</f>
        <v>38</v>
      </c>
    </row>
    <row r="75" spans="1:5" x14ac:dyDescent="0.25">
      <c r="A75">
        <v>1188</v>
      </c>
      <c r="B75" t="s">
        <v>76</v>
      </c>
      <c r="C75" t="s">
        <v>5</v>
      </c>
      <c r="D75">
        <f>VLOOKUP(A75,[1]Sheet7!$F$4:$I$209,4,FALSE)</f>
        <v>232290</v>
      </c>
      <c r="E75">
        <f>VLOOKUP(A75,[1]Hits!A$1:D$206,4,0)</f>
        <v>66</v>
      </c>
    </row>
    <row r="76" spans="1:5" x14ac:dyDescent="0.25">
      <c r="A76">
        <v>1164</v>
      </c>
      <c r="B76" t="s">
        <v>77</v>
      </c>
      <c r="C76" t="s">
        <v>5</v>
      </c>
      <c r="D76">
        <f>VLOOKUP(A76,[1]Sheet7!$F$4:$I$209,4,FALSE)</f>
        <v>230621</v>
      </c>
      <c r="E76">
        <f>VLOOKUP(A76,[1]Hits!A$1:D$206,4,0)</f>
        <v>342</v>
      </c>
    </row>
    <row r="77" spans="1:5" x14ac:dyDescent="0.25">
      <c r="A77">
        <v>1190</v>
      </c>
      <c r="B77" t="s">
        <v>78</v>
      </c>
      <c r="C77" t="s">
        <v>5</v>
      </c>
      <c r="D77">
        <f>VLOOKUP(A77,[1]Sheet7!$F$4:$I$209,4,FALSE)</f>
        <v>229086</v>
      </c>
      <c r="E77">
        <f>VLOOKUP(A77,[1]Hits!A$1:D$206,4,0)</f>
        <v>63</v>
      </c>
    </row>
    <row r="78" spans="1:5" x14ac:dyDescent="0.25">
      <c r="A78">
        <v>1131</v>
      </c>
      <c r="B78" t="s">
        <v>79</v>
      </c>
      <c r="C78" t="s">
        <v>5</v>
      </c>
      <c r="D78">
        <f>VLOOKUP(A78,[1]Sheet7!$F$4:$I$209,4,FALSE)</f>
        <v>204960</v>
      </c>
      <c r="E78">
        <f>VLOOKUP(A78,[1]Hits!A$1:D$206,4,0)</f>
        <v>43</v>
      </c>
    </row>
    <row r="79" spans="1:5" x14ac:dyDescent="0.25">
      <c r="A79">
        <v>1158</v>
      </c>
      <c r="B79" t="s">
        <v>80</v>
      </c>
      <c r="C79" t="s">
        <v>5</v>
      </c>
      <c r="D79">
        <f>VLOOKUP(A79,[1]Sheet7!$F$4:$I$209,4,FALSE)</f>
        <v>197100</v>
      </c>
      <c r="E79">
        <f>VLOOKUP(A79,[1]Hits!A$1:D$206,4,0)</f>
        <v>67</v>
      </c>
    </row>
    <row r="80" spans="1:5" x14ac:dyDescent="0.25">
      <c r="A80">
        <v>1039</v>
      </c>
      <c r="B80" t="s">
        <v>81</v>
      </c>
      <c r="C80" t="s">
        <v>5</v>
      </c>
      <c r="D80">
        <f>VLOOKUP(A80,[1]Sheet7!$F$4:$I$209,4,FALSE)</f>
        <v>194469</v>
      </c>
      <c r="E80">
        <f>VLOOKUP(A80,[1]Hits!A$1:D$206,4,0)</f>
        <v>74</v>
      </c>
    </row>
    <row r="81" spans="1:5" x14ac:dyDescent="0.25">
      <c r="A81">
        <v>1050</v>
      </c>
      <c r="B81" t="s">
        <v>82</v>
      </c>
      <c r="C81" t="s">
        <v>5</v>
      </c>
      <c r="D81">
        <f>VLOOKUP(A81,[1]Sheet7!$F$4:$I$209,4,FALSE)</f>
        <v>184092</v>
      </c>
      <c r="E81">
        <f>VLOOKUP(A81,[1]Hits!A$1:D$206,4,0)</f>
        <v>121</v>
      </c>
    </row>
    <row r="82" spans="1:5" x14ac:dyDescent="0.25">
      <c r="A82">
        <v>1153</v>
      </c>
      <c r="B82" t="s">
        <v>83</v>
      </c>
      <c r="C82" t="s">
        <v>5</v>
      </c>
      <c r="D82">
        <f>VLOOKUP(A82,[1]Sheet7!$F$4:$I$209,4,FALSE)</f>
        <v>176344</v>
      </c>
      <c r="E82">
        <f>VLOOKUP(A82,[1]Hits!A$1:D$206,4,0)</f>
        <v>68</v>
      </c>
    </row>
    <row r="83" spans="1:5" x14ac:dyDescent="0.25">
      <c r="A83">
        <v>1062</v>
      </c>
      <c r="B83" t="s">
        <v>84</v>
      </c>
      <c r="C83" t="s">
        <v>5</v>
      </c>
      <c r="D83">
        <f>VLOOKUP(A83,[1]Sheet7!$F$4:$I$209,4,FALSE)</f>
        <v>159132</v>
      </c>
      <c r="E83">
        <f>VLOOKUP(A83,[1]Hits!A$1:D$206,4,0)</f>
        <v>45</v>
      </c>
    </row>
    <row r="84" spans="1:5" x14ac:dyDescent="0.25">
      <c r="A84">
        <v>1012</v>
      </c>
      <c r="B84" t="s">
        <v>85</v>
      </c>
      <c r="C84" t="s">
        <v>5</v>
      </c>
      <c r="D84">
        <f>VLOOKUP(A84,[1]Sheet7!$F$4:$I$209,4,FALSE)</f>
        <v>146853</v>
      </c>
      <c r="E84">
        <f>VLOOKUP(A84,[1]Hits!A$1:D$206,4,0)</f>
        <v>14</v>
      </c>
    </row>
    <row r="85" spans="1:5" x14ac:dyDescent="0.25">
      <c r="A85">
        <v>1068</v>
      </c>
      <c r="B85" t="s">
        <v>86</v>
      </c>
      <c r="C85" t="s">
        <v>5</v>
      </c>
      <c r="D85">
        <f>VLOOKUP(A85,[1]Sheet7!$F$4:$I$209,4,FALSE)</f>
        <v>136890</v>
      </c>
      <c r="E85">
        <f>VLOOKUP(A85,[1]Hits!A$1:D$206,4,0)</f>
        <v>49</v>
      </c>
    </row>
    <row r="86" spans="1:5" x14ac:dyDescent="0.25">
      <c r="A86">
        <v>1065</v>
      </c>
      <c r="B86" t="s">
        <v>87</v>
      </c>
      <c r="C86" t="s">
        <v>5</v>
      </c>
      <c r="D86">
        <f>VLOOKUP(A86,[1]Sheet7!$F$4:$I$209,4,FALSE)</f>
        <v>132559</v>
      </c>
      <c r="E86">
        <f>VLOOKUP(A86,[1]Hits!A$1:D$206,4,0)</f>
        <v>51</v>
      </c>
    </row>
    <row r="87" spans="1:5" x14ac:dyDescent="0.25">
      <c r="A87">
        <v>1069</v>
      </c>
      <c r="B87" t="s">
        <v>86</v>
      </c>
      <c r="C87" t="s">
        <v>5</v>
      </c>
      <c r="D87">
        <f>VLOOKUP(A87,[1]Sheet7!$F$4:$I$209,4,FALSE)</f>
        <v>127588</v>
      </c>
      <c r="E87">
        <f>VLOOKUP(A87,[1]Hits!A$1:D$206,4,0)</f>
        <v>48</v>
      </c>
    </row>
    <row r="88" spans="1:5" x14ac:dyDescent="0.25">
      <c r="A88">
        <v>1045</v>
      </c>
      <c r="B88" t="s">
        <v>88</v>
      </c>
      <c r="C88" t="s">
        <v>5</v>
      </c>
      <c r="D88">
        <f>VLOOKUP(A88,[1]Sheet7!$F$4:$I$209,4,FALSE)</f>
        <v>122265</v>
      </c>
      <c r="E88">
        <f>VLOOKUP(A88,[1]Hits!A$1:D$206,4,0)</f>
        <v>743</v>
      </c>
    </row>
    <row r="89" spans="1:5" x14ac:dyDescent="0.25">
      <c r="A89">
        <v>1046</v>
      </c>
      <c r="B89" t="s">
        <v>89</v>
      </c>
      <c r="C89" t="s">
        <v>5</v>
      </c>
      <c r="D89">
        <f>VLOOKUP(A89,[1]Sheet7!$F$4:$I$209,4,FALSE)</f>
        <v>107712</v>
      </c>
      <c r="E89">
        <f>VLOOKUP(A89,[1]Hits!A$1:D$206,4,0)</f>
        <v>79</v>
      </c>
    </row>
    <row r="90" spans="1:5" x14ac:dyDescent="0.25">
      <c r="A90">
        <v>1061</v>
      </c>
      <c r="B90" t="s">
        <v>90</v>
      </c>
      <c r="C90" t="s">
        <v>5</v>
      </c>
      <c r="D90">
        <f>VLOOKUP(A90,[1]Sheet7!$F$4:$I$209,4,FALSE)</f>
        <v>106330</v>
      </c>
      <c r="E90">
        <f>VLOOKUP(A90,[1]Hits!A$1:D$206,4,0)</f>
        <v>55</v>
      </c>
    </row>
    <row r="91" spans="1:5" x14ac:dyDescent="0.25">
      <c r="A91">
        <v>1041</v>
      </c>
      <c r="B91" t="s">
        <v>91</v>
      </c>
      <c r="C91" t="s">
        <v>5</v>
      </c>
      <c r="D91">
        <f>VLOOKUP(A91,[1]Sheet7!$F$4:$I$209,4,FALSE)</f>
        <v>102098</v>
      </c>
      <c r="E91">
        <f>VLOOKUP(A91,[1]Hits!A$1:D$206,4,0)</f>
        <v>104</v>
      </c>
    </row>
    <row r="92" spans="1:5" x14ac:dyDescent="0.25">
      <c r="A92">
        <v>1067</v>
      </c>
      <c r="B92" t="s">
        <v>92</v>
      </c>
      <c r="C92" t="s">
        <v>5</v>
      </c>
      <c r="D92">
        <f>VLOOKUP(A92,[1]Sheet7!$F$4:$I$209,4,FALSE)</f>
        <v>100646</v>
      </c>
      <c r="E92">
        <f>VLOOKUP(A92,[1]Hits!A$1:D$206,4,0)</f>
        <v>48</v>
      </c>
    </row>
    <row r="93" spans="1:5" x14ac:dyDescent="0.25">
      <c r="A93">
        <v>1064</v>
      </c>
      <c r="B93" t="s">
        <v>93</v>
      </c>
      <c r="C93" t="s">
        <v>5</v>
      </c>
      <c r="D93">
        <f>VLOOKUP(A93,[1]Sheet7!$F$4:$I$209,4,FALSE)</f>
        <v>98658</v>
      </c>
      <c r="E93">
        <f>VLOOKUP(A93,[1]Hits!A$1:D$206,4,0)</f>
        <v>46</v>
      </c>
    </row>
    <row r="94" spans="1:5" x14ac:dyDescent="0.25">
      <c r="A94">
        <v>1133</v>
      </c>
      <c r="B94" t="s">
        <v>94</v>
      </c>
      <c r="C94" t="s">
        <v>5</v>
      </c>
      <c r="D94">
        <f>VLOOKUP(A94,[1]Sheet7!$F$4:$I$209,4,FALSE)</f>
        <v>94866</v>
      </c>
      <c r="E94">
        <f>VLOOKUP(A94,[1]Hits!A$1:D$206,4,0)</f>
        <v>39</v>
      </c>
    </row>
    <row r="95" spans="1:5" x14ac:dyDescent="0.25">
      <c r="A95">
        <v>1029</v>
      </c>
      <c r="B95" t="s">
        <v>95</v>
      </c>
      <c r="C95" t="s">
        <v>5</v>
      </c>
      <c r="D95">
        <f>VLOOKUP(A95,[1]Sheet7!$F$4:$I$209,4,FALSE)</f>
        <v>88995</v>
      </c>
      <c r="E95">
        <f>VLOOKUP(A95,[1]Hits!A$1:D$206,4,0)</f>
        <v>34</v>
      </c>
    </row>
    <row r="96" spans="1:5" x14ac:dyDescent="0.25">
      <c r="A96">
        <v>1033</v>
      </c>
      <c r="B96" t="s">
        <v>96</v>
      </c>
      <c r="C96" t="s">
        <v>5</v>
      </c>
      <c r="D96">
        <f>VLOOKUP(A96,[1]Sheet7!$F$4:$I$209,4,FALSE)</f>
        <v>84420</v>
      </c>
      <c r="E96">
        <f>VLOOKUP(A96,[1]Hits!A$1:D$206,4,0)</f>
        <v>74</v>
      </c>
    </row>
    <row r="97" spans="1:5" x14ac:dyDescent="0.25">
      <c r="A97">
        <v>1130</v>
      </c>
      <c r="B97" t="s">
        <v>97</v>
      </c>
      <c r="C97" t="s">
        <v>5</v>
      </c>
      <c r="D97">
        <f>VLOOKUP(A97,[1]Sheet7!$F$4:$I$209,4,FALSE)</f>
        <v>82476</v>
      </c>
      <c r="E97">
        <f>VLOOKUP(A97,[1]Hits!A$1:D$206,4,0)</f>
        <v>27</v>
      </c>
    </row>
    <row r="98" spans="1:5" x14ac:dyDescent="0.25">
      <c r="A98">
        <v>1129</v>
      </c>
      <c r="B98" t="s">
        <v>98</v>
      </c>
      <c r="C98" t="s">
        <v>5</v>
      </c>
      <c r="D98">
        <f>VLOOKUP(A98,[1]Sheet7!$F$4:$I$209,4,FALSE)</f>
        <v>80845</v>
      </c>
      <c r="E98">
        <f>VLOOKUP(A98,[1]Hits!A$1:D$206,4,0)</f>
        <v>28</v>
      </c>
    </row>
    <row r="99" spans="1:5" x14ac:dyDescent="0.25">
      <c r="A99">
        <v>1128</v>
      </c>
      <c r="B99" t="s">
        <v>99</v>
      </c>
      <c r="C99" t="s">
        <v>5</v>
      </c>
      <c r="D99">
        <f>VLOOKUP(A99,[1]Sheet7!$F$4:$I$209,4,FALSE)</f>
        <v>78392</v>
      </c>
      <c r="E99">
        <f>VLOOKUP(A99,[1]Hits!A$1:D$206,4,0)</f>
        <v>22</v>
      </c>
    </row>
    <row r="100" spans="1:5" x14ac:dyDescent="0.25">
      <c r="A100">
        <v>1063</v>
      </c>
      <c r="B100" t="s">
        <v>100</v>
      </c>
      <c r="C100" t="s">
        <v>5</v>
      </c>
      <c r="D100">
        <f>VLOOKUP(A100,[1]Sheet7!$F$4:$I$209,4,FALSE)</f>
        <v>78300</v>
      </c>
      <c r="E100">
        <f>VLOOKUP(A100,[1]Hits!A$1:D$206,4,0)</f>
        <v>49</v>
      </c>
    </row>
    <row r="101" spans="1:5" x14ac:dyDescent="0.25">
      <c r="A101">
        <v>1135</v>
      </c>
      <c r="B101" t="s">
        <v>101</v>
      </c>
      <c r="C101" t="s">
        <v>5</v>
      </c>
      <c r="D101">
        <f>VLOOKUP(A101,[1]Sheet7!$F$4:$I$209,4,FALSE)</f>
        <v>74772</v>
      </c>
      <c r="E101">
        <f>VLOOKUP(A101,[1]Hits!A$1:D$206,4,0)</f>
        <v>23</v>
      </c>
    </row>
    <row r="102" spans="1:5" x14ac:dyDescent="0.25">
      <c r="A102">
        <v>1032</v>
      </c>
      <c r="B102" t="s">
        <v>102</v>
      </c>
      <c r="C102" t="s">
        <v>5</v>
      </c>
      <c r="D102">
        <f>VLOOKUP(A102,[1]Sheet7!$F$4:$I$209,4,FALSE)</f>
        <v>74538</v>
      </c>
      <c r="E102">
        <f>VLOOKUP(A102,[1]Hits!A$1:D$206,4,0)</f>
        <v>64</v>
      </c>
    </row>
    <row r="103" spans="1:5" x14ac:dyDescent="0.25">
      <c r="A103">
        <v>1025</v>
      </c>
      <c r="B103" t="s">
        <v>103</v>
      </c>
      <c r="C103" t="s">
        <v>5</v>
      </c>
      <c r="D103">
        <f>VLOOKUP(A103,[1]Sheet7!$F$4:$I$209,4,FALSE)</f>
        <v>68985</v>
      </c>
      <c r="E103">
        <f>VLOOKUP(A103,[1]Hits!A$1:D$206,4,0)</f>
        <v>41</v>
      </c>
    </row>
    <row r="104" spans="1:5" x14ac:dyDescent="0.25">
      <c r="A104">
        <v>1117</v>
      </c>
      <c r="B104" t="s">
        <v>104</v>
      </c>
      <c r="C104" t="s">
        <v>5</v>
      </c>
      <c r="D104">
        <f>VLOOKUP(A104,[1]Sheet7!$F$4:$I$209,4,FALSE)</f>
        <v>65000</v>
      </c>
      <c r="E104">
        <f>VLOOKUP(A104,[1]Hits!A$1:D$206,4,0)</f>
        <v>23</v>
      </c>
    </row>
    <row r="105" spans="1:5" x14ac:dyDescent="0.25">
      <c r="A105">
        <v>1106</v>
      </c>
      <c r="B105" t="s">
        <v>105</v>
      </c>
      <c r="C105" t="s">
        <v>5</v>
      </c>
      <c r="D105">
        <f>VLOOKUP(A105,[1]Sheet7!$F$4:$I$209,4,FALSE)</f>
        <v>63135</v>
      </c>
      <c r="E105">
        <f>VLOOKUP(A105,[1]Hits!A$1:D$206,4,0)</f>
        <v>23</v>
      </c>
    </row>
    <row r="106" spans="1:5" x14ac:dyDescent="0.25">
      <c r="A106">
        <v>1056</v>
      </c>
      <c r="B106" t="s">
        <v>106</v>
      </c>
      <c r="C106" t="s">
        <v>5</v>
      </c>
      <c r="D106">
        <f>VLOOKUP(A106,[1]Sheet7!$F$4:$I$209,4,FALSE)</f>
        <v>61548</v>
      </c>
      <c r="E106">
        <f>VLOOKUP(A106,[1]Hits!A$1:D$206,4,0)</f>
        <v>50</v>
      </c>
    </row>
    <row r="107" spans="1:5" x14ac:dyDescent="0.25">
      <c r="A107">
        <v>1048</v>
      </c>
      <c r="B107" t="s">
        <v>107</v>
      </c>
      <c r="C107" t="s">
        <v>5</v>
      </c>
      <c r="D107">
        <f>VLOOKUP(A107,[1]Sheet7!$F$4:$I$209,4,FALSE)</f>
        <v>61536</v>
      </c>
      <c r="E107">
        <f>VLOOKUP(A107,[1]Hits!A$1:D$206,4,0)</f>
        <v>98</v>
      </c>
    </row>
    <row r="108" spans="1:5" x14ac:dyDescent="0.25">
      <c r="A108">
        <v>1127</v>
      </c>
      <c r="B108" t="s">
        <v>108</v>
      </c>
      <c r="C108" t="s">
        <v>5</v>
      </c>
      <c r="D108">
        <f>VLOOKUP(A108,[1]Sheet7!$F$4:$I$209,4,FALSE)</f>
        <v>61380</v>
      </c>
      <c r="E108">
        <f>VLOOKUP(A108,[1]Hits!A$1:D$206,4,0)</f>
        <v>20</v>
      </c>
    </row>
    <row r="109" spans="1:5" x14ac:dyDescent="0.25">
      <c r="A109">
        <v>1126</v>
      </c>
      <c r="B109" t="s">
        <v>109</v>
      </c>
      <c r="C109" t="s">
        <v>5</v>
      </c>
      <c r="D109">
        <f>VLOOKUP(A109,[1]Sheet7!$F$4:$I$209,4,FALSE)</f>
        <v>59568</v>
      </c>
      <c r="E109">
        <f>VLOOKUP(A109,[1]Hits!A$1:D$206,4,0)</f>
        <v>16</v>
      </c>
    </row>
    <row r="110" spans="1:5" x14ac:dyDescent="0.25">
      <c r="A110">
        <v>1143</v>
      </c>
      <c r="B110" t="s">
        <v>110</v>
      </c>
      <c r="C110" t="s">
        <v>5</v>
      </c>
      <c r="D110">
        <f>VLOOKUP(A110,[1]Sheet7!$F$4:$I$209,4,FALSE)</f>
        <v>57350</v>
      </c>
      <c r="E110">
        <f>VLOOKUP(A110,[1]Hits!A$1:D$206,4,0)</f>
        <v>23</v>
      </c>
    </row>
    <row r="111" spans="1:5" x14ac:dyDescent="0.25">
      <c r="A111">
        <v>1134</v>
      </c>
      <c r="B111" t="s">
        <v>111</v>
      </c>
      <c r="C111" t="s">
        <v>5</v>
      </c>
      <c r="D111">
        <f>VLOOKUP(A111,[1]Sheet7!$F$4:$I$209,4,FALSE)</f>
        <v>55440</v>
      </c>
      <c r="E111">
        <f>VLOOKUP(A111,[1]Hits!A$1:D$206,4,0)</f>
        <v>25</v>
      </c>
    </row>
    <row r="112" spans="1:5" x14ac:dyDescent="0.25">
      <c r="A112">
        <v>1088</v>
      </c>
      <c r="B112" t="s">
        <v>112</v>
      </c>
      <c r="C112" t="s">
        <v>5</v>
      </c>
      <c r="D112">
        <f>VLOOKUP(A112,[1]Sheet7!$F$4:$I$209,4,FALSE)</f>
        <v>55200</v>
      </c>
      <c r="E112">
        <f>VLOOKUP(A112,[1]Hits!A$1:D$206,4,0)</f>
        <v>23</v>
      </c>
    </row>
    <row r="113" spans="1:5" x14ac:dyDescent="0.25">
      <c r="A113">
        <v>1049</v>
      </c>
      <c r="B113" t="s">
        <v>113</v>
      </c>
      <c r="C113" t="s">
        <v>5</v>
      </c>
      <c r="D113">
        <f>VLOOKUP(A113,[1]Sheet7!$F$4:$I$209,4,FALSE)</f>
        <v>54188</v>
      </c>
      <c r="E113">
        <f>VLOOKUP(A113,[1]Hits!A$1:D$206,4,0)</f>
        <v>102</v>
      </c>
    </row>
    <row r="114" spans="1:5" x14ac:dyDescent="0.25">
      <c r="A114">
        <v>1066</v>
      </c>
      <c r="B114" t="s">
        <v>114</v>
      </c>
      <c r="C114" t="s">
        <v>5</v>
      </c>
      <c r="D114">
        <f>VLOOKUP(A114,[1]Sheet7!$F$4:$I$209,4,FALSE)</f>
        <v>53000</v>
      </c>
      <c r="E114">
        <f>VLOOKUP(A114,[1]Hits!A$1:D$206,4,0)</f>
        <v>35</v>
      </c>
    </row>
    <row r="115" spans="1:5" x14ac:dyDescent="0.25">
      <c r="A115">
        <v>1052</v>
      </c>
      <c r="B115" t="s">
        <v>115</v>
      </c>
      <c r="C115" t="s">
        <v>5</v>
      </c>
      <c r="D115">
        <f>VLOOKUP(A115,[1]Sheet7!$F$4:$I$209,4,FALSE)</f>
        <v>52488</v>
      </c>
      <c r="E115">
        <f>VLOOKUP(A115,[1]Hits!A$1:D$206,4,0)</f>
        <v>75</v>
      </c>
    </row>
    <row r="116" spans="1:5" x14ac:dyDescent="0.25">
      <c r="A116">
        <v>1087</v>
      </c>
      <c r="B116" t="s">
        <v>116</v>
      </c>
      <c r="C116" t="s">
        <v>5</v>
      </c>
      <c r="D116">
        <f>VLOOKUP(A116,[1]Sheet7!$F$4:$I$209,4,FALSE)</f>
        <v>52136</v>
      </c>
      <c r="E116">
        <f>VLOOKUP(A116,[1]Hits!A$1:D$206,4,0)</f>
        <v>23</v>
      </c>
    </row>
    <row r="117" spans="1:5" x14ac:dyDescent="0.25">
      <c r="A117">
        <v>1018</v>
      </c>
      <c r="B117" t="s">
        <v>117</v>
      </c>
      <c r="C117" t="s">
        <v>5</v>
      </c>
      <c r="D117">
        <f>VLOOKUP(A117,[1]Sheet7!$F$4:$I$209,4,FALSE)</f>
        <v>47304</v>
      </c>
      <c r="E117">
        <f>VLOOKUP(A117,[1]Hits!A$1:D$206,4,0)</f>
        <v>21</v>
      </c>
    </row>
    <row r="118" spans="1:5" x14ac:dyDescent="0.25">
      <c r="A118">
        <v>1125</v>
      </c>
      <c r="B118" t="s">
        <v>118</v>
      </c>
      <c r="C118" t="s">
        <v>5</v>
      </c>
      <c r="D118">
        <f>VLOOKUP(A118,[1]Sheet7!$F$4:$I$209,4,FALSE)</f>
        <v>41310</v>
      </c>
      <c r="E118">
        <f>VLOOKUP(A118,[1]Hits!A$1:D$206,4,0)</f>
        <v>18</v>
      </c>
    </row>
    <row r="119" spans="1:5" x14ac:dyDescent="0.25">
      <c r="A119">
        <v>1059</v>
      </c>
      <c r="B119" t="s">
        <v>119</v>
      </c>
      <c r="C119" t="s">
        <v>5</v>
      </c>
      <c r="D119">
        <f>VLOOKUP(A119,[1]Sheet7!$F$4:$I$209,4,FALSE)</f>
        <v>39294</v>
      </c>
      <c r="E119">
        <f>VLOOKUP(A119,[1]Hits!A$1:D$206,4,0)</f>
        <v>67</v>
      </c>
    </row>
    <row r="120" spans="1:5" x14ac:dyDescent="0.25">
      <c r="A120">
        <v>1132</v>
      </c>
      <c r="B120" t="s">
        <v>120</v>
      </c>
      <c r="C120" t="s">
        <v>5</v>
      </c>
      <c r="D120">
        <f>VLOOKUP(A120,[1]Sheet7!$F$4:$I$209,4,FALSE)</f>
        <v>38226</v>
      </c>
      <c r="E120">
        <f>VLOOKUP(A120,[1]Hits!A$1:D$206,4,0)</f>
        <v>19</v>
      </c>
    </row>
    <row r="121" spans="1:5" x14ac:dyDescent="0.25">
      <c r="A121">
        <v>1057</v>
      </c>
      <c r="B121" t="s">
        <v>121</v>
      </c>
      <c r="C121" t="s">
        <v>5</v>
      </c>
      <c r="D121">
        <f>VLOOKUP(A121,[1]Sheet7!$F$4:$I$209,4,FALSE)</f>
        <v>35805</v>
      </c>
      <c r="E121">
        <f>VLOOKUP(A121,[1]Hits!A$1:D$206,4,0)</f>
        <v>85</v>
      </c>
    </row>
    <row r="122" spans="1:5" x14ac:dyDescent="0.25">
      <c r="A122">
        <v>1111</v>
      </c>
      <c r="B122" t="s">
        <v>122</v>
      </c>
      <c r="C122" t="s">
        <v>5</v>
      </c>
      <c r="D122">
        <f>VLOOKUP(A122,[1]Sheet7!$F$4:$I$209,4,FALSE)</f>
        <v>32400</v>
      </c>
      <c r="E122">
        <f>VLOOKUP(A122,[1]Hits!A$1:D$206,4,0)</f>
        <v>2</v>
      </c>
    </row>
    <row r="123" spans="1:5" x14ac:dyDescent="0.25">
      <c r="A123">
        <v>1104</v>
      </c>
      <c r="B123" t="s">
        <v>123</v>
      </c>
      <c r="C123" t="s">
        <v>5</v>
      </c>
      <c r="D123">
        <f>VLOOKUP(A123,[1]Sheet7!$F$4:$I$209,4,FALSE)</f>
        <v>32130</v>
      </c>
      <c r="E123">
        <f>VLOOKUP(A123,[1]Hits!A$1:D$206,4,0)</f>
        <v>23</v>
      </c>
    </row>
    <row r="124" spans="1:5" x14ac:dyDescent="0.25">
      <c r="A124">
        <v>1139</v>
      </c>
      <c r="B124" t="s">
        <v>124</v>
      </c>
      <c r="C124" t="s">
        <v>5</v>
      </c>
      <c r="D124">
        <f>VLOOKUP(A124,[1]Sheet7!$F$4:$I$209,4,FALSE)</f>
        <v>31878</v>
      </c>
      <c r="E124">
        <f>VLOOKUP(A124,[1]Hits!A$1:D$206,4,0)</f>
        <v>18</v>
      </c>
    </row>
    <row r="125" spans="1:5" x14ac:dyDescent="0.25">
      <c r="A125">
        <v>1034</v>
      </c>
      <c r="B125" t="s">
        <v>125</v>
      </c>
      <c r="C125" t="s">
        <v>5</v>
      </c>
      <c r="D125">
        <f>VLOOKUP(A125,[1]Sheet7!$F$4:$I$209,4,FALSE)</f>
        <v>31093</v>
      </c>
      <c r="E125">
        <f>VLOOKUP(A125,[1]Hits!A$1:D$206,4,0)</f>
        <v>72</v>
      </c>
    </row>
    <row r="126" spans="1:5" x14ac:dyDescent="0.25">
      <c r="A126">
        <v>1047</v>
      </c>
      <c r="B126" t="s">
        <v>126</v>
      </c>
      <c r="C126" t="s">
        <v>5</v>
      </c>
      <c r="D126">
        <f>VLOOKUP(A126,[1]Sheet7!$F$4:$I$209,4,FALSE)</f>
        <v>30900</v>
      </c>
      <c r="E126">
        <f>VLOOKUP(A126,[1]Hits!A$1:D$206,4,0)</f>
        <v>97</v>
      </c>
    </row>
    <row r="127" spans="1:5" x14ac:dyDescent="0.25">
      <c r="A127">
        <v>1058</v>
      </c>
      <c r="B127" t="s">
        <v>127</v>
      </c>
      <c r="C127" t="s">
        <v>5</v>
      </c>
      <c r="D127">
        <f>VLOOKUP(A127,[1]Sheet7!$F$4:$I$209,4,FALSE)</f>
        <v>30525</v>
      </c>
      <c r="E127">
        <f>VLOOKUP(A127,[1]Hits!A$1:D$206,4,0)</f>
        <v>63</v>
      </c>
    </row>
    <row r="128" spans="1:5" x14ac:dyDescent="0.25">
      <c r="A128">
        <v>1011</v>
      </c>
      <c r="B128" t="s">
        <v>128</v>
      </c>
      <c r="C128" t="s">
        <v>5</v>
      </c>
      <c r="D128">
        <f>VLOOKUP(A128,[1]Sheet7!$F$4:$I$209,4,FALSE)</f>
        <v>29757</v>
      </c>
      <c r="E128">
        <f>VLOOKUP(A128,[1]Hits!A$1:D$206,4,0)</f>
        <v>17</v>
      </c>
    </row>
    <row r="129" spans="1:5" x14ac:dyDescent="0.25">
      <c r="A129">
        <v>1140</v>
      </c>
      <c r="B129" t="s">
        <v>129</v>
      </c>
      <c r="C129" t="s">
        <v>5</v>
      </c>
      <c r="D129">
        <f>VLOOKUP(A129,[1]Sheet7!$F$4:$I$209,4,FALSE)</f>
        <v>29440</v>
      </c>
      <c r="E129">
        <f>VLOOKUP(A129,[1]Hits!A$1:D$206,4,0)</f>
        <v>12</v>
      </c>
    </row>
    <row r="130" spans="1:5" x14ac:dyDescent="0.25">
      <c r="A130">
        <v>1094</v>
      </c>
      <c r="B130" t="s">
        <v>130</v>
      </c>
      <c r="C130" t="s">
        <v>5</v>
      </c>
      <c r="D130">
        <f>VLOOKUP(A130,[1]Sheet7!$F$4:$I$209,4,FALSE)</f>
        <v>29187</v>
      </c>
      <c r="E130">
        <f>VLOOKUP(A130,[1]Hits!A$1:D$206,4,0)</f>
        <v>16</v>
      </c>
    </row>
    <row r="131" spans="1:5" x14ac:dyDescent="0.25">
      <c r="A131">
        <v>1093</v>
      </c>
      <c r="B131" t="s">
        <v>131</v>
      </c>
      <c r="C131" t="s">
        <v>5</v>
      </c>
      <c r="D131">
        <f>VLOOKUP(A131,[1]Sheet7!$F$4:$I$209,4,FALSE)</f>
        <v>26884</v>
      </c>
      <c r="E131">
        <f>VLOOKUP(A131,[1]Hits!A$1:D$206,4,0)</f>
        <v>15</v>
      </c>
    </row>
    <row r="132" spans="1:5" x14ac:dyDescent="0.25">
      <c r="A132">
        <v>1100</v>
      </c>
      <c r="B132" t="s">
        <v>132</v>
      </c>
      <c r="C132" t="s">
        <v>5</v>
      </c>
      <c r="D132">
        <f>VLOOKUP(A132,[1]Sheet7!$F$4:$I$209,4,FALSE)</f>
        <v>26260</v>
      </c>
      <c r="E132">
        <f>VLOOKUP(A132,[1]Hits!A$1:D$206,4,0)</f>
        <v>9</v>
      </c>
    </row>
    <row r="133" spans="1:5" x14ac:dyDescent="0.25">
      <c r="A133">
        <v>1053</v>
      </c>
      <c r="B133" t="s">
        <v>133</v>
      </c>
      <c r="C133" t="s">
        <v>5</v>
      </c>
      <c r="D133">
        <f>VLOOKUP(A133,[1]Sheet7!$F$4:$I$209,4,FALSE)</f>
        <v>25650</v>
      </c>
      <c r="E133">
        <f>VLOOKUP(A133,[1]Hits!A$1:D$206,4,0)</f>
        <v>71</v>
      </c>
    </row>
    <row r="134" spans="1:5" x14ac:dyDescent="0.25">
      <c r="A134">
        <v>1138</v>
      </c>
      <c r="B134" t="s">
        <v>134</v>
      </c>
      <c r="C134" t="s">
        <v>5</v>
      </c>
      <c r="D134">
        <f>VLOOKUP(A134,[1]Sheet7!$F$4:$I$209,4,FALSE)</f>
        <v>24705</v>
      </c>
      <c r="E134">
        <f>VLOOKUP(A134,[1]Hits!A$1:D$206,4,0)</f>
        <v>12</v>
      </c>
    </row>
    <row r="135" spans="1:5" x14ac:dyDescent="0.25">
      <c r="A135">
        <v>1038</v>
      </c>
      <c r="B135" t="s">
        <v>135</v>
      </c>
      <c r="C135" t="s">
        <v>5</v>
      </c>
      <c r="D135">
        <f>VLOOKUP(A135,[1]Sheet7!$F$4:$I$209,4,FALSE)</f>
        <v>22302</v>
      </c>
      <c r="E135">
        <f>VLOOKUP(A135,[1]Hits!A$1:D$206,4,0)</f>
        <v>77</v>
      </c>
    </row>
    <row r="136" spans="1:5" x14ac:dyDescent="0.25">
      <c r="A136">
        <v>1136</v>
      </c>
      <c r="B136" t="s">
        <v>136</v>
      </c>
      <c r="C136" t="s">
        <v>5</v>
      </c>
      <c r="D136">
        <f>VLOOKUP(A136,[1]Sheet7!$F$4:$I$209,4,FALSE)</f>
        <v>21600</v>
      </c>
      <c r="E136">
        <f>VLOOKUP(A136,[1]Hits!A$1:D$206,4,0)</f>
        <v>13</v>
      </c>
    </row>
    <row r="137" spans="1:5" x14ac:dyDescent="0.25">
      <c r="A137">
        <v>1110</v>
      </c>
      <c r="B137" t="s">
        <v>137</v>
      </c>
      <c r="C137" t="s">
        <v>5</v>
      </c>
      <c r="D137">
        <f>VLOOKUP(A137,[1]Sheet7!$F$4:$I$209,4,FALSE)</f>
        <v>18225</v>
      </c>
      <c r="E137">
        <f>VLOOKUP(A137,[1]Hits!A$1:D$206,4,0)</f>
        <v>3</v>
      </c>
    </row>
    <row r="138" spans="1:5" x14ac:dyDescent="0.25">
      <c r="A138">
        <v>1099</v>
      </c>
      <c r="B138" t="s">
        <v>138</v>
      </c>
      <c r="C138" t="s">
        <v>5</v>
      </c>
      <c r="D138">
        <f>VLOOKUP(A138,[1]Sheet7!$F$4:$I$209,4,FALSE)</f>
        <v>17876</v>
      </c>
      <c r="E138">
        <f>VLOOKUP(A138,[1]Hits!A$1:D$206,4,0)</f>
        <v>6</v>
      </c>
    </row>
    <row r="139" spans="1:5" x14ac:dyDescent="0.25">
      <c r="A139">
        <v>1051</v>
      </c>
      <c r="B139" t="s">
        <v>139</v>
      </c>
      <c r="C139" t="s">
        <v>5</v>
      </c>
      <c r="D139">
        <f>VLOOKUP(A139,[1]Sheet7!$F$4:$I$209,4,FALSE)</f>
        <v>17685</v>
      </c>
      <c r="E139">
        <f>VLOOKUP(A139,[1]Hits!A$1:D$206,4,0)</f>
        <v>82</v>
      </c>
    </row>
    <row r="140" spans="1:5" x14ac:dyDescent="0.25">
      <c r="A140">
        <v>1023</v>
      </c>
      <c r="B140" t="s">
        <v>140</v>
      </c>
      <c r="C140" t="s">
        <v>5</v>
      </c>
      <c r="D140">
        <f>VLOOKUP(A140,[1]Sheet7!$F$4:$I$209,4,FALSE)</f>
        <v>17250</v>
      </c>
      <c r="E140">
        <f>VLOOKUP(A140,[1]Hits!A$1:D$206,4,0)</f>
        <v>32</v>
      </c>
    </row>
    <row r="141" spans="1:5" x14ac:dyDescent="0.25">
      <c r="A141">
        <v>1014</v>
      </c>
      <c r="B141" t="s">
        <v>141</v>
      </c>
      <c r="C141" t="s">
        <v>5</v>
      </c>
      <c r="D141">
        <f>VLOOKUP(A141,[1]Sheet7!$F$4:$I$209,4,FALSE)</f>
        <v>16125</v>
      </c>
      <c r="E141">
        <f>VLOOKUP(A141,[1]Hits!A$1:D$206,4,0)</f>
        <v>15</v>
      </c>
    </row>
    <row r="142" spans="1:5" x14ac:dyDescent="0.25">
      <c r="A142">
        <v>1089</v>
      </c>
      <c r="B142" t="s">
        <v>142</v>
      </c>
      <c r="C142" t="s">
        <v>5</v>
      </c>
      <c r="D142">
        <f>VLOOKUP(A142,[1]Sheet7!$F$4:$I$209,4,FALSE)</f>
        <v>15960</v>
      </c>
      <c r="E142">
        <f>VLOOKUP(A142,[1]Hits!A$1:D$206,4,0)</f>
        <v>6</v>
      </c>
    </row>
    <row r="143" spans="1:5" x14ac:dyDescent="0.25">
      <c r="A143">
        <v>1031</v>
      </c>
      <c r="B143" t="s">
        <v>143</v>
      </c>
      <c r="C143" t="s">
        <v>5</v>
      </c>
      <c r="D143">
        <f>VLOOKUP(A143,[1]Sheet7!$F$4:$I$209,4,FALSE)</f>
        <v>14756</v>
      </c>
      <c r="E143">
        <f>VLOOKUP(A143,[1]Hits!A$1:D$206,4,0)</f>
        <v>82</v>
      </c>
    </row>
    <row r="144" spans="1:5" x14ac:dyDescent="0.25">
      <c r="A144">
        <v>1096</v>
      </c>
      <c r="B144" t="s">
        <v>144</v>
      </c>
      <c r="C144" t="s">
        <v>5</v>
      </c>
      <c r="D144">
        <f>VLOOKUP(A144,[1]Sheet7!$F$4:$I$209,4,FALSE)</f>
        <v>14476</v>
      </c>
      <c r="E144">
        <f>VLOOKUP(A144,[1]Hits!A$1:D$206,4,0)</f>
        <v>5</v>
      </c>
    </row>
    <row r="145" spans="1:5" x14ac:dyDescent="0.25">
      <c r="A145">
        <v>1028</v>
      </c>
      <c r="B145" t="s">
        <v>145</v>
      </c>
      <c r="C145" t="s">
        <v>5</v>
      </c>
      <c r="D145">
        <f>VLOOKUP(A145,[1]Sheet7!$F$4:$I$209,4,FALSE)</f>
        <v>14276</v>
      </c>
      <c r="E145">
        <f>VLOOKUP(A145,[1]Hits!A$1:D$206,4,0)</f>
        <v>24</v>
      </c>
    </row>
    <row r="146" spans="1:5" x14ac:dyDescent="0.25">
      <c r="A146">
        <v>1060</v>
      </c>
      <c r="B146" t="s">
        <v>146</v>
      </c>
      <c r="C146" t="s">
        <v>5</v>
      </c>
      <c r="D146">
        <f>VLOOKUP(A146,[1]Sheet7!$F$4:$I$209,4,FALSE)</f>
        <v>13975</v>
      </c>
      <c r="E146">
        <f>VLOOKUP(A146,[1]Hits!A$1:D$206,4,0)</f>
        <v>80</v>
      </c>
    </row>
    <row r="147" spans="1:5" x14ac:dyDescent="0.25">
      <c r="A147">
        <v>1020</v>
      </c>
      <c r="B147" t="s">
        <v>147</v>
      </c>
      <c r="C147" t="s">
        <v>5</v>
      </c>
      <c r="D147">
        <f>VLOOKUP(A147,[1]Sheet7!$F$4:$I$209,4,FALSE)</f>
        <v>12964</v>
      </c>
      <c r="E147">
        <f>VLOOKUP(A147,[1]Hits!A$1:D$206,4,0)</f>
        <v>36</v>
      </c>
    </row>
    <row r="148" spans="1:5" x14ac:dyDescent="0.25">
      <c r="A148">
        <v>1030</v>
      </c>
      <c r="B148" t="s">
        <v>148</v>
      </c>
      <c r="C148" t="s">
        <v>5</v>
      </c>
      <c r="D148">
        <f>VLOOKUP(A148,[1]Sheet7!$F$4:$I$209,4,FALSE)</f>
        <v>12597</v>
      </c>
      <c r="E148">
        <f>VLOOKUP(A148,[1]Hits!A$1:D$206,4,0)</f>
        <v>74</v>
      </c>
    </row>
    <row r="149" spans="1:5" x14ac:dyDescent="0.25">
      <c r="A149">
        <v>1080</v>
      </c>
      <c r="B149" t="s">
        <v>149</v>
      </c>
      <c r="C149" t="s">
        <v>5</v>
      </c>
      <c r="D149">
        <f>VLOOKUP(A149,[1]Sheet7!$F$4:$I$209,4,FALSE)</f>
        <v>12274</v>
      </c>
      <c r="E149">
        <f>VLOOKUP(A149,[1]Hits!A$1:D$206,4,0)</f>
        <v>5</v>
      </c>
    </row>
    <row r="150" spans="1:5" x14ac:dyDescent="0.25">
      <c r="A150">
        <v>1081</v>
      </c>
      <c r="B150" t="s">
        <v>150</v>
      </c>
      <c r="C150" t="s">
        <v>5</v>
      </c>
      <c r="D150">
        <f>VLOOKUP(A150,[1]Sheet7!$F$4:$I$209,4,FALSE)</f>
        <v>10794</v>
      </c>
      <c r="E150">
        <f>VLOOKUP(A150,[1]Hits!A$1:D$206,4,0)</f>
        <v>3</v>
      </c>
    </row>
    <row r="151" spans="1:5" x14ac:dyDescent="0.25">
      <c r="A151">
        <v>1082</v>
      </c>
      <c r="B151" t="s">
        <v>151</v>
      </c>
      <c r="C151" t="s">
        <v>5</v>
      </c>
      <c r="D151">
        <f>VLOOKUP(A151,[1]Sheet7!$F$4:$I$209,4,FALSE)</f>
        <v>10530</v>
      </c>
      <c r="E151">
        <f>VLOOKUP(A151,[1]Hits!A$1:D$206,4,0)</f>
        <v>2</v>
      </c>
    </row>
    <row r="152" spans="1:5" x14ac:dyDescent="0.25">
      <c r="A152">
        <v>1026</v>
      </c>
      <c r="B152" t="s">
        <v>152</v>
      </c>
      <c r="C152" t="s">
        <v>5</v>
      </c>
      <c r="D152">
        <f>VLOOKUP(A152,[1]Sheet7!$F$4:$I$209,4,FALSE)</f>
        <v>10244</v>
      </c>
      <c r="E152">
        <f>VLOOKUP(A152,[1]Hits!A$1:D$206,4,0)</f>
        <v>31</v>
      </c>
    </row>
    <row r="153" spans="1:5" x14ac:dyDescent="0.25">
      <c r="A153">
        <v>1071</v>
      </c>
      <c r="B153" t="s">
        <v>153</v>
      </c>
      <c r="C153" t="s">
        <v>5</v>
      </c>
      <c r="D153">
        <f>VLOOKUP(A153,[1]Sheet7!$F$4:$I$209,4,FALSE)</f>
        <v>10024</v>
      </c>
      <c r="E153">
        <f>VLOOKUP(A153,[1]Hits!A$1:D$206,4,0)</f>
        <v>4</v>
      </c>
    </row>
    <row r="154" spans="1:5" x14ac:dyDescent="0.25">
      <c r="A154">
        <v>1095</v>
      </c>
      <c r="B154" t="s">
        <v>154</v>
      </c>
      <c r="C154" t="s">
        <v>5</v>
      </c>
      <c r="D154">
        <f>VLOOKUP(A154,[1]Sheet7!$F$4:$I$209,4,FALSE)</f>
        <v>9198</v>
      </c>
      <c r="E154">
        <f>VLOOKUP(A154,[1]Hits!A$1:D$206,4,0)</f>
        <v>6</v>
      </c>
    </row>
    <row r="155" spans="1:5" x14ac:dyDescent="0.25">
      <c r="A155">
        <v>1084</v>
      </c>
      <c r="B155" t="s">
        <v>155</v>
      </c>
      <c r="C155" t="s">
        <v>5</v>
      </c>
      <c r="D155">
        <f>VLOOKUP(A155,[1]Sheet7!$F$4:$I$209,4,FALSE)</f>
        <v>8569</v>
      </c>
      <c r="E155">
        <f>VLOOKUP(A155,[1]Hits!A$1:D$206,4,0)</f>
        <v>4</v>
      </c>
    </row>
    <row r="156" spans="1:5" x14ac:dyDescent="0.25">
      <c r="A156">
        <v>1107</v>
      </c>
      <c r="B156" t="s">
        <v>156</v>
      </c>
      <c r="C156" t="s">
        <v>5</v>
      </c>
      <c r="D156">
        <f>VLOOKUP(A156,[1]Sheet7!$F$4:$I$209,4,FALSE)</f>
        <v>8388</v>
      </c>
      <c r="E156">
        <f>VLOOKUP(A156,[1]Hits!A$1:D$206,4,0)</f>
        <v>2</v>
      </c>
    </row>
    <row r="157" spans="1:5" x14ac:dyDescent="0.25">
      <c r="A157">
        <v>1074</v>
      </c>
      <c r="B157" t="s">
        <v>157</v>
      </c>
      <c r="C157" t="s">
        <v>5</v>
      </c>
      <c r="D157">
        <f>VLOOKUP(A157,[1]Sheet7!$F$4:$I$209,4,FALSE)</f>
        <v>7659</v>
      </c>
      <c r="E157">
        <f>VLOOKUP(A157,[1]Hits!A$1:D$206,4,0)</f>
        <v>2</v>
      </c>
    </row>
    <row r="158" spans="1:5" x14ac:dyDescent="0.25">
      <c r="A158">
        <v>1145</v>
      </c>
      <c r="B158" t="s">
        <v>158</v>
      </c>
      <c r="C158" t="s">
        <v>5</v>
      </c>
      <c r="D158">
        <f>VLOOKUP(A158,[1]Sheet7!$F$4:$I$209,4,FALSE)</f>
        <v>7648</v>
      </c>
      <c r="E158">
        <f>VLOOKUP(A158,[1]Hits!A$1:D$206,4,0)</f>
        <v>2</v>
      </c>
    </row>
    <row r="159" spans="1:5" x14ac:dyDescent="0.25">
      <c r="A159">
        <v>1119</v>
      </c>
      <c r="B159" t="s">
        <v>159</v>
      </c>
      <c r="C159" t="s">
        <v>5</v>
      </c>
      <c r="D159">
        <f>VLOOKUP(A159,[1]Sheet7!$F$4:$I$209,4,FALSE)</f>
        <v>7590</v>
      </c>
      <c r="E159">
        <f>VLOOKUP(A159,[1]Hits!A$1:D$206,4,0)</f>
        <v>3</v>
      </c>
    </row>
    <row r="160" spans="1:5" x14ac:dyDescent="0.25">
      <c r="A160">
        <v>1149</v>
      </c>
      <c r="B160" t="s">
        <v>160</v>
      </c>
      <c r="C160" t="s">
        <v>5</v>
      </c>
      <c r="D160">
        <f>VLOOKUP(A160,[1]Sheet7!$F$4:$I$209,4,FALSE)</f>
        <v>6790</v>
      </c>
      <c r="E160">
        <f>VLOOKUP(A160,[1]Hits!A$1:D$206,4,0)</f>
        <v>3</v>
      </c>
    </row>
    <row r="161" spans="1:5" x14ac:dyDescent="0.25">
      <c r="A161">
        <v>1042</v>
      </c>
      <c r="B161" t="s">
        <v>161</v>
      </c>
      <c r="C161" t="s">
        <v>5</v>
      </c>
      <c r="D161">
        <f>VLOOKUP(A161,[1]Sheet7!$F$4:$I$209,4,FALSE)</f>
        <v>6572</v>
      </c>
      <c r="E161">
        <f>VLOOKUP(A161,[1]Hits!A$1:D$206,4,0)</f>
        <v>306</v>
      </c>
    </row>
    <row r="162" spans="1:5" x14ac:dyDescent="0.25">
      <c r="A162">
        <v>1102</v>
      </c>
      <c r="B162" t="s">
        <v>162</v>
      </c>
      <c r="C162" t="s">
        <v>5</v>
      </c>
      <c r="D162">
        <f>VLOOKUP(A162,[1]Sheet7!$F$4:$I$209,4,FALSE)</f>
        <v>6556</v>
      </c>
      <c r="E162">
        <f>VLOOKUP(A162,[1]Hits!A$1:D$206,4,0)</f>
        <v>2</v>
      </c>
    </row>
    <row r="163" spans="1:5" x14ac:dyDescent="0.25">
      <c r="A163">
        <v>1137</v>
      </c>
      <c r="B163" t="s">
        <v>163</v>
      </c>
      <c r="C163" t="s">
        <v>5</v>
      </c>
      <c r="D163">
        <f>VLOOKUP(A163,[1]Sheet7!$F$4:$I$209,4,FALSE)</f>
        <v>6556</v>
      </c>
      <c r="E163">
        <f>VLOOKUP(A163,[1]Hits!A$1:D$206,4,0)</f>
        <v>5</v>
      </c>
    </row>
    <row r="164" spans="1:5" x14ac:dyDescent="0.25">
      <c r="A164">
        <v>1101</v>
      </c>
      <c r="B164" t="s">
        <v>164</v>
      </c>
      <c r="C164" t="s">
        <v>165</v>
      </c>
      <c r="D164">
        <f>VLOOKUP(A164,[1]Sheet7!$F$4:$I$209,4,FALSE)</f>
        <v>6536</v>
      </c>
      <c r="E164">
        <f>VLOOKUP(A164,[1]Hits!A$1:D$206,4,0)</f>
        <v>3</v>
      </c>
    </row>
    <row r="165" spans="1:5" x14ac:dyDescent="0.25">
      <c r="A165">
        <v>1141</v>
      </c>
      <c r="B165" t="s">
        <v>166</v>
      </c>
      <c r="C165" t="s">
        <v>5</v>
      </c>
      <c r="D165">
        <f>VLOOKUP(A165,[1]Sheet7!$F$4:$I$209,4,FALSE)</f>
        <v>6440</v>
      </c>
      <c r="E165">
        <f>VLOOKUP(A165,[1]Hits!A$1:D$206,4,0)</f>
        <v>5</v>
      </c>
    </row>
    <row r="166" spans="1:5" x14ac:dyDescent="0.25">
      <c r="A166">
        <v>1114</v>
      </c>
      <c r="B166" t="s">
        <v>167</v>
      </c>
      <c r="C166" t="s">
        <v>5</v>
      </c>
      <c r="D166">
        <f>VLOOKUP(A166,[1]Sheet7!$F$4:$I$209,4,FALSE)</f>
        <v>6439</v>
      </c>
      <c r="E166">
        <f>VLOOKUP(A166,[1]Hits!A$1:D$206,4,0)</f>
        <v>3</v>
      </c>
    </row>
    <row r="167" spans="1:5" x14ac:dyDescent="0.25">
      <c r="A167">
        <v>1142</v>
      </c>
      <c r="B167" t="s">
        <v>168</v>
      </c>
      <c r="C167" t="s">
        <v>5</v>
      </c>
      <c r="D167">
        <f>VLOOKUP(A167,[1]Sheet7!$F$4:$I$209,4,FALSE)</f>
        <v>6300</v>
      </c>
      <c r="E167">
        <f>VLOOKUP(A167,[1]Hits!A$1:D$206,4,0)</f>
        <v>1</v>
      </c>
    </row>
    <row r="168" spans="1:5" x14ac:dyDescent="0.25">
      <c r="A168">
        <v>1079</v>
      </c>
      <c r="B168" t="s">
        <v>169</v>
      </c>
      <c r="C168" t="s">
        <v>5</v>
      </c>
      <c r="D168">
        <f>VLOOKUP(A168,[1]Sheet7!$F$4:$I$209,4,FALSE)</f>
        <v>6210</v>
      </c>
      <c r="E168">
        <f>VLOOKUP(A168,[1]Hits!A$1:D$206,4,0)</f>
        <v>3</v>
      </c>
    </row>
    <row r="169" spans="1:5" x14ac:dyDescent="0.25">
      <c r="A169">
        <v>1122</v>
      </c>
      <c r="B169" t="s">
        <v>170</v>
      </c>
      <c r="C169" t="s">
        <v>5</v>
      </c>
      <c r="D169">
        <f>VLOOKUP(A169,[1]Sheet7!$F$4:$I$209,4,FALSE)</f>
        <v>6105</v>
      </c>
      <c r="E169">
        <f>VLOOKUP(A169,[1]Hits!A$1:D$206,4,0)</f>
        <v>2</v>
      </c>
    </row>
    <row r="170" spans="1:5" x14ac:dyDescent="0.25">
      <c r="A170">
        <v>1108</v>
      </c>
      <c r="B170" t="s">
        <v>171</v>
      </c>
      <c r="C170" t="s">
        <v>5</v>
      </c>
      <c r="D170">
        <f>VLOOKUP(A170,[1]Sheet7!$F$4:$I$209,4,FALSE)</f>
        <v>5805</v>
      </c>
      <c r="E170">
        <f>VLOOKUP(A170,[1]Hits!A$1:D$206,4,0)</f>
        <v>3</v>
      </c>
    </row>
    <row r="171" spans="1:5" x14ac:dyDescent="0.25">
      <c r="A171">
        <v>1112</v>
      </c>
      <c r="B171" t="s">
        <v>172</v>
      </c>
      <c r="C171" t="s">
        <v>5</v>
      </c>
      <c r="D171">
        <f>VLOOKUP(A171,[1]Sheet7!$F$4:$I$209,4,FALSE)</f>
        <v>5656</v>
      </c>
      <c r="E171">
        <f>VLOOKUP(A171,[1]Hits!A$1:D$206,4,0)</f>
        <v>2</v>
      </c>
    </row>
    <row r="172" spans="1:5" x14ac:dyDescent="0.25">
      <c r="A172">
        <v>1044</v>
      </c>
      <c r="B172" t="s">
        <v>173</v>
      </c>
      <c r="C172" t="s">
        <v>5</v>
      </c>
      <c r="D172">
        <f>VLOOKUP(A172,[1]Sheet7!$F$4:$I$209,4,FALSE)</f>
        <v>5524</v>
      </c>
      <c r="E172">
        <f>VLOOKUP(A172,[1]Hits!A$1:D$206,4,0)</f>
        <v>101</v>
      </c>
    </row>
    <row r="173" spans="1:5" x14ac:dyDescent="0.25">
      <c r="A173">
        <v>1147</v>
      </c>
      <c r="B173" t="s">
        <v>174</v>
      </c>
      <c r="C173" t="s">
        <v>5</v>
      </c>
      <c r="D173">
        <f>VLOOKUP(A173,[1]Sheet7!$F$4:$I$209,4,FALSE)</f>
        <v>5425</v>
      </c>
      <c r="E173">
        <f>VLOOKUP(A173,[1]Hits!A$1:D$206,4,0)</f>
        <v>2</v>
      </c>
    </row>
    <row r="174" spans="1:5" x14ac:dyDescent="0.25">
      <c r="A174">
        <v>1116</v>
      </c>
      <c r="B174" t="s">
        <v>175</v>
      </c>
      <c r="C174" t="s">
        <v>5</v>
      </c>
      <c r="D174">
        <f>VLOOKUP(A174,[1]Sheet7!$F$4:$I$209,4,FALSE)</f>
        <v>5320</v>
      </c>
      <c r="E174">
        <f>VLOOKUP(A174,[1]Hits!A$1:D$206,4,0)</f>
        <v>3</v>
      </c>
    </row>
    <row r="175" spans="1:5" x14ac:dyDescent="0.25">
      <c r="A175">
        <v>1017</v>
      </c>
      <c r="B175" t="s">
        <v>176</v>
      </c>
      <c r="C175" t="s">
        <v>5</v>
      </c>
      <c r="D175">
        <f>VLOOKUP(A175,[1]Sheet7!$F$4:$I$209,4,FALSE)</f>
        <v>5166</v>
      </c>
      <c r="E175">
        <f>VLOOKUP(A175,[1]Hits!A$1:D$206,4,0)</f>
        <v>8</v>
      </c>
    </row>
    <row r="176" spans="1:5" x14ac:dyDescent="0.25">
      <c r="A176">
        <v>1027</v>
      </c>
      <c r="B176" t="s">
        <v>177</v>
      </c>
      <c r="C176" t="s">
        <v>5</v>
      </c>
      <c r="D176">
        <f>VLOOKUP(A176,[1]Sheet7!$F$4:$I$209,4,FALSE)</f>
        <v>5166</v>
      </c>
      <c r="E176">
        <f>VLOOKUP(A176,[1]Hits!A$1:D$206,4,0)</f>
        <v>27</v>
      </c>
    </row>
    <row r="177" spans="1:5" x14ac:dyDescent="0.25">
      <c r="A177">
        <v>1098</v>
      </c>
      <c r="B177" t="s">
        <v>178</v>
      </c>
      <c r="C177" t="s">
        <v>5</v>
      </c>
      <c r="D177">
        <f>VLOOKUP(A177,[1]Sheet7!$F$4:$I$209,4,FALSE)</f>
        <v>5133</v>
      </c>
      <c r="E177">
        <f>VLOOKUP(A177,[1]Hits!A$1:D$206,4,0)</f>
        <v>2</v>
      </c>
    </row>
    <row r="178" spans="1:5" x14ac:dyDescent="0.25">
      <c r="A178">
        <v>1073</v>
      </c>
      <c r="B178" t="s">
        <v>179</v>
      </c>
      <c r="C178" t="s">
        <v>5</v>
      </c>
      <c r="D178">
        <f>VLOOKUP(A178,[1]Sheet7!$F$4:$I$209,4,FALSE)</f>
        <v>4888</v>
      </c>
      <c r="E178">
        <f>VLOOKUP(A178,[1]Hits!A$1:D$206,4,0)</f>
        <v>3</v>
      </c>
    </row>
    <row r="179" spans="1:5" x14ac:dyDescent="0.25">
      <c r="A179">
        <v>1085</v>
      </c>
      <c r="B179" t="s">
        <v>180</v>
      </c>
      <c r="C179" t="s">
        <v>5</v>
      </c>
      <c r="D179">
        <f>VLOOKUP(A179,[1]Sheet7!$F$4:$I$209,4,FALSE)</f>
        <v>4725</v>
      </c>
      <c r="E179">
        <f>VLOOKUP(A179,[1]Hits!A$1:D$206,4,0)</f>
        <v>1</v>
      </c>
    </row>
    <row r="180" spans="1:5" x14ac:dyDescent="0.25">
      <c r="A180">
        <v>1022</v>
      </c>
      <c r="B180" t="s">
        <v>181</v>
      </c>
      <c r="C180" t="s">
        <v>5</v>
      </c>
      <c r="D180">
        <f>VLOOKUP(A180,[1]Sheet7!$F$4:$I$209,4,FALSE)</f>
        <v>4648</v>
      </c>
      <c r="E180">
        <f>VLOOKUP(A180,[1]Hits!A$1:D$206,4,0)</f>
        <v>28</v>
      </c>
    </row>
    <row r="181" spans="1:5" x14ac:dyDescent="0.25">
      <c r="A181">
        <v>1118</v>
      </c>
      <c r="B181" t="s">
        <v>182</v>
      </c>
      <c r="C181" t="s">
        <v>5</v>
      </c>
      <c r="D181">
        <f>VLOOKUP(A181,[1]Sheet7!$F$4:$I$209,4,FALSE)</f>
        <v>4584</v>
      </c>
      <c r="E181">
        <f>VLOOKUP(A181,[1]Hits!A$1:D$206,4,0)</f>
        <v>3</v>
      </c>
    </row>
    <row r="182" spans="1:5" x14ac:dyDescent="0.25">
      <c r="A182">
        <v>1124</v>
      </c>
      <c r="B182" t="s">
        <v>183</v>
      </c>
      <c r="C182" t="s">
        <v>5</v>
      </c>
      <c r="D182">
        <f>VLOOKUP(A182,[1]Sheet7!$F$4:$I$209,4,FALSE)</f>
        <v>4389</v>
      </c>
      <c r="E182">
        <f>VLOOKUP(A182,[1]Hits!A$1:D$206,4,0)</f>
        <v>2</v>
      </c>
    </row>
    <row r="183" spans="1:5" x14ac:dyDescent="0.25">
      <c r="A183">
        <v>1072</v>
      </c>
      <c r="B183" t="s">
        <v>184</v>
      </c>
      <c r="C183" t="s">
        <v>5</v>
      </c>
      <c r="D183">
        <f>VLOOKUP(A183,[1]Sheet7!$F$4:$I$209,4,FALSE)</f>
        <v>4263</v>
      </c>
      <c r="E183">
        <f>VLOOKUP(A183,[1]Hits!A$1:D$206,4,0)</f>
        <v>3</v>
      </c>
    </row>
    <row r="184" spans="1:5" x14ac:dyDescent="0.25">
      <c r="A184">
        <v>1078</v>
      </c>
      <c r="B184" t="s">
        <v>185</v>
      </c>
      <c r="C184" t="s">
        <v>5</v>
      </c>
      <c r="D184">
        <f>VLOOKUP(A184,[1]Sheet7!$F$4:$I$209,4,FALSE)</f>
        <v>4200</v>
      </c>
      <c r="E184">
        <f>VLOOKUP(A184,[1]Hits!A$1:D$206,4,0)</f>
        <v>1</v>
      </c>
    </row>
    <row r="185" spans="1:5" x14ac:dyDescent="0.25">
      <c r="A185">
        <v>1146</v>
      </c>
      <c r="B185" t="s">
        <v>186</v>
      </c>
      <c r="C185" t="s">
        <v>5</v>
      </c>
      <c r="D185">
        <f>VLOOKUP(A185,[1]Sheet7!$F$4:$I$209,4,FALSE)</f>
        <v>4050</v>
      </c>
      <c r="E185">
        <f>VLOOKUP(A185,[1]Hits!A$1:D$206,4,0)</f>
        <v>2</v>
      </c>
    </row>
    <row r="186" spans="1:5" x14ac:dyDescent="0.25">
      <c r="A186">
        <v>1077</v>
      </c>
      <c r="B186" t="s">
        <v>187</v>
      </c>
      <c r="C186" t="s">
        <v>5</v>
      </c>
      <c r="D186">
        <f>VLOOKUP(A186,[1]Sheet7!$F$4:$I$209,4,FALSE)</f>
        <v>3978</v>
      </c>
      <c r="E186">
        <f>VLOOKUP(A186,[1]Hits!A$1:D$206,4,0)</f>
        <v>2</v>
      </c>
    </row>
    <row r="187" spans="1:5" x14ac:dyDescent="0.25">
      <c r="A187">
        <v>1024</v>
      </c>
      <c r="B187" t="s">
        <v>188</v>
      </c>
      <c r="C187" t="s">
        <v>5</v>
      </c>
      <c r="D187">
        <f>VLOOKUP(A187,[1]Sheet7!$F$4:$I$209,4,FALSE)</f>
        <v>3416</v>
      </c>
      <c r="E187">
        <f>VLOOKUP(A187,[1]Hits!A$1:D$206,4,0)</f>
        <v>34</v>
      </c>
    </row>
    <row r="188" spans="1:5" x14ac:dyDescent="0.25">
      <c r="A188">
        <v>1075</v>
      </c>
      <c r="B188" t="s">
        <v>189</v>
      </c>
      <c r="C188" t="s">
        <v>5</v>
      </c>
      <c r="D188">
        <f>VLOOKUP(A188,[1]Sheet7!$F$4:$I$209,4,FALSE)</f>
        <v>3075</v>
      </c>
      <c r="E188">
        <f>VLOOKUP(A188,[1]Hits!A$1:D$206,4,0)</f>
        <v>1</v>
      </c>
    </row>
    <row r="189" spans="1:5" x14ac:dyDescent="0.25">
      <c r="A189">
        <v>1121</v>
      </c>
      <c r="B189" t="s">
        <v>190</v>
      </c>
      <c r="C189" t="s">
        <v>5</v>
      </c>
      <c r="D189">
        <f>VLOOKUP(A189,[1]Sheet7!$F$4:$I$209,4,FALSE)</f>
        <v>3024</v>
      </c>
      <c r="E189">
        <f>VLOOKUP(A189,[1]Hits!A$1:D$206,4,0)</f>
        <v>1</v>
      </c>
    </row>
    <row r="190" spans="1:5" x14ac:dyDescent="0.25">
      <c r="A190">
        <v>1148</v>
      </c>
      <c r="B190" t="s">
        <v>191</v>
      </c>
      <c r="C190" t="s">
        <v>5</v>
      </c>
      <c r="D190">
        <f>VLOOKUP(A190,[1]Sheet7!$F$4:$I$209,4,FALSE)</f>
        <v>2960</v>
      </c>
      <c r="E190">
        <f>VLOOKUP(A190,[1]Hits!A$1:D$206,4,0)</f>
        <v>1</v>
      </c>
    </row>
    <row r="191" spans="1:5" x14ac:dyDescent="0.25">
      <c r="A191">
        <v>1103</v>
      </c>
      <c r="B191" t="s">
        <v>192</v>
      </c>
      <c r="C191" t="s">
        <v>5</v>
      </c>
      <c r="D191">
        <f>VLOOKUP(A191,[1]Sheet7!$F$4:$I$209,4,FALSE)</f>
        <v>2907</v>
      </c>
      <c r="E191">
        <f>VLOOKUP(A191,[1]Hits!A$1:D$206,4,0)</f>
        <v>2</v>
      </c>
    </row>
    <row r="192" spans="1:5" x14ac:dyDescent="0.25">
      <c r="A192">
        <v>1097</v>
      </c>
      <c r="B192" t="s">
        <v>193</v>
      </c>
      <c r="C192" t="s">
        <v>5</v>
      </c>
      <c r="D192">
        <f>VLOOKUP(A192,[1]Sheet7!$F$4:$I$209,4,FALSE)</f>
        <v>2839</v>
      </c>
      <c r="E192">
        <f>VLOOKUP(A192,[1]Hits!A$1:D$206,4,0)</f>
        <v>1</v>
      </c>
    </row>
    <row r="193" spans="1:5" x14ac:dyDescent="0.25">
      <c r="A193">
        <v>1076</v>
      </c>
      <c r="B193" t="s">
        <v>194</v>
      </c>
      <c r="C193" t="s">
        <v>5</v>
      </c>
      <c r="D193">
        <f>VLOOKUP(A193,[1]Sheet7!$F$4:$I$209,4,FALSE)</f>
        <v>2592</v>
      </c>
      <c r="E193">
        <f>VLOOKUP(A193,[1]Hits!A$1:D$206,4,0)</f>
        <v>1</v>
      </c>
    </row>
    <row r="194" spans="1:5" x14ac:dyDescent="0.25">
      <c r="A194">
        <v>1019</v>
      </c>
      <c r="B194" t="s">
        <v>195</v>
      </c>
      <c r="C194" t="s">
        <v>5</v>
      </c>
      <c r="D194">
        <f>VLOOKUP(A194,[1]Sheet7!$F$4:$I$209,4,FALSE)</f>
        <v>2500</v>
      </c>
      <c r="E194">
        <f>VLOOKUP(A194,[1]Hits!A$1:D$206,4,0)</f>
        <v>7</v>
      </c>
    </row>
    <row r="195" spans="1:5" x14ac:dyDescent="0.25">
      <c r="A195">
        <v>1120</v>
      </c>
      <c r="B195" t="s">
        <v>196</v>
      </c>
      <c r="C195" t="s">
        <v>5</v>
      </c>
      <c r="D195">
        <f>VLOOKUP(A195,[1]Sheet7!$F$4:$I$209,4,FALSE)</f>
        <v>2490</v>
      </c>
      <c r="E195">
        <f>VLOOKUP(A195,[1]Hits!A$1:D$206,4,0)</f>
        <v>1</v>
      </c>
    </row>
    <row r="196" spans="1:5" x14ac:dyDescent="0.25">
      <c r="A196">
        <v>1105</v>
      </c>
      <c r="B196" t="s">
        <v>197</v>
      </c>
      <c r="C196" t="s">
        <v>5</v>
      </c>
      <c r="D196">
        <f>VLOOKUP(A196,[1]Sheet7!$F$4:$I$209,4,FALSE)</f>
        <v>2330</v>
      </c>
      <c r="E196">
        <f>VLOOKUP(A196,[1]Hits!A$1:D$206,4,0)</f>
        <v>1</v>
      </c>
    </row>
    <row r="197" spans="1:5" x14ac:dyDescent="0.25">
      <c r="A197">
        <v>1144</v>
      </c>
      <c r="B197" t="s">
        <v>198</v>
      </c>
      <c r="C197" t="s">
        <v>5</v>
      </c>
      <c r="D197">
        <f>VLOOKUP(A197,[1]Sheet7!$F$4:$I$209,4,FALSE)</f>
        <v>2275</v>
      </c>
      <c r="E197">
        <f>VLOOKUP(A197,[1]Hits!A$1:D$206,4,0)</f>
        <v>1</v>
      </c>
    </row>
    <row r="198" spans="1:5" x14ac:dyDescent="0.25">
      <c r="A198">
        <v>1109</v>
      </c>
      <c r="B198" t="s">
        <v>199</v>
      </c>
      <c r="C198" t="s">
        <v>5</v>
      </c>
      <c r="D198">
        <f>VLOOKUP(A198,[1]Sheet7!$F$4:$I$209,4,FALSE)</f>
        <v>2235</v>
      </c>
      <c r="E198">
        <f>VLOOKUP(A198,[1]Hits!A$1:D$206,4,0)</f>
        <v>1</v>
      </c>
    </row>
    <row r="199" spans="1:5" x14ac:dyDescent="0.25">
      <c r="A199">
        <v>1115</v>
      </c>
      <c r="B199" t="s">
        <v>200</v>
      </c>
      <c r="C199" t="s">
        <v>5</v>
      </c>
      <c r="D199">
        <f>VLOOKUP(A199,[1]Sheet7!$F$4:$I$209,4,FALSE)</f>
        <v>2211</v>
      </c>
      <c r="E199">
        <f>VLOOKUP(A199,[1]Hits!A$1:D$206,4,0)</f>
        <v>1</v>
      </c>
    </row>
    <row r="200" spans="1:5" x14ac:dyDescent="0.25">
      <c r="A200">
        <v>1123</v>
      </c>
      <c r="B200" t="s">
        <v>201</v>
      </c>
      <c r="C200" t="s">
        <v>5</v>
      </c>
      <c r="D200">
        <f>VLOOKUP(A200,[1]Sheet7!$F$4:$I$209,4,FALSE)</f>
        <v>1830</v>
      </c>
      <c r="E200">
        <f>VLOOKUP(A200,[1]Hits!A$1:D$206,4,0)</f>
        <v>2</v>
      </c>
    </row>
    <row r="201" spans="1:5" x14ac:dyDescent="0.25">
      <c r="A201">
        <v>1113</v>
      </c>
      <c r="B201" t="s">
        <v>202</v>
      </c>
      <c r="C201" t="s">
        <v>5</v>
      </c>
      <c r="D201">
        <f>VLOOKUP(A201,[1]Sheet7!$F$4:$I$209,4,FALSE)</f>
        <v>1582</v>
      </c>
      <c r="E201">
        <f>VLOOKUP(A201,[1]Hits!A$1:D$206,4,0)</f>
        <v>1</v>
      </c>
    </row>
    <row r="202" spans="1:5" x14ac:dyDescent="0.25">
      <c r="A202">
        <v>1016</v>
      </c>
      <c r="B202" t="s">
        <v>203</v>
      </c>
      <c r="C202" t="s">
        <v>5</v>
      </c>
      <c r="D202">
        <f>VLOOKUP(A202,[1]Sheet7!$F$4:$I$209,4,FALSE)</f>
        <v>1580</v>
      </c>
      <c r="E202">
        <f>VLOOKUP(A202,[1]Hits!A$1:D$206,4,0)</f>
        <v>24</v>
      </c>
    </row>
    <row r="203" spans="1:5" x14ac:dyDescent="0.25">
      <c r="A203">
        <v>1083</v>
      </c>
      <c r="B203" t="s">
        <v>204</v>
      </c>
      <c r="C203" t="s">
        <v>5</v>
      </c>
      <c r="D203">
        <f>VLOOKUP(A203,[1]Sheet7!$F$4:$I$209,4,FALSE)</f>
        <v>1533</v>
      </c>
      <c r="E203">
        <f>VLOOKUP(A203,[1]Hits!A$1:D$206,4,0)</f>
        <v>1</v>
      </c>
    </row>
    <row r="204" spans="1:5" x14ac:dyDescent="0.25">
      <c r="A204">
        <v>1013</v>
      </c>
      <c r="B204" t="s">
        <v>205</v>
      </c>
      <c r="C204" t="s">
        <v>5</v>
      </c>
      <c r="D204">
        <f>VLOOKUP(A204,[1]Sheet7!$F$4:$I$209,4,FALSE)</f>
        <v>1368</v>
      </c>
      <c r="E204">
        <f>VLOOKUP(A204,[1]Hits!A$1:D$206,4,0)</f>
        <v>13</v>
      </c>
    </row>
    <row r="205" spans="1:5" x14ac:dyDescent="0.25">
      <c r="A205">
        <v>1086</v>
      </c>
      <c r="B205" t="s">
        <v>206</v>
      </c>
      <c r="C205" t="s">
        <v>5</v>
      </c>
      <c r="D205">
        <f>VLOOKUP(A205,[1]Sheet7!$F$4:$I$209,4,FALSE)</f>
        <v>1152</v>
      </c>
      <c r="E205">
        <f>VLOOKUP(A205,[1]Hits!A$1:D$206,4,0)</f>
        <v>1</v>
      </c>
    </row>
    <row r="206" spans="1:5" x14ac:dyDescent="0.25">
      <c r="A206">
        <v>1015</v>
      </c>
      <c r="B206" t="s">
        <v>207</v>
      </c>
      <c r="C206" t="s">
        <v>5</v>
      </c>
      <c r="D206">
        <f>VLOOKUP(A206,[1]Sheet7!$F$4:$I$209,4,FALSE)</f>
        <v>675</v>
      </c>
      <c r="E206">
        <f>VLOOKUP(A206,[1]Hits!A$1:D$206,4,0)</f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DA940-3AF7-4644-BF4A-1DB9312E84D5}">
  <dimension ref="A1:J206"/>
  <sheetViews>
    <sheetView workbookViewId="0">
      <selection activeCell="C1" sqref="C1"/>
    </sheetView>
  </sheetViews>
  <sheetFormatPr defaultColWidth="25.28515625" defaultRowHeight="15" x14ac:dyDescent="0.25"/>
  <cols>
    <col min="1" max="1" width="15.28515625" customWidth="1"/>
    <col min="2" max="2" width="15" customWidth="1"/>
    <col min="4" max="4" width="14.5703125" customWidth="1"/>
    <col min="5" max="5" width="17.5703125" customWidth="1"/>
    <col min="6" max="6" width="22.85546875" customWidth="1"/>
    <col min="7" max="7" width="12.42578125" customWidth="1"/>
    <col min="8" max="8" width="9.28515625" customWidth="1"/>
    <col min="9" max="9" width="13.85546875" customWidth="1"/>
    <col min="10" max="10" width="13.140625" customWidth="1"/>
    <col min="11" max="11" width="18.5703125" customWidth="1"/>
  </cols>
  <sheetData>
    <row r="1" spans="1:10" x14ac:dyDescent="0.25">
      <c r="A1" t="s">
        <v>0</v>
      </c>
      <c r="B1" t="s">
        <v>208</v>
      </c>
      <c r="C1" t="s">
        <v>271</v>
      </c>
      <c r="D1" t="s">
        <v>209</v>
      </c>
      <c r="E1" t="s">
        <v>210</v>
      </c>
      <c r="H1" t="s">
        <v>210</v>
      </c>
      <c r="I1" t="s">
        <v>247</v>
      </c>
      <c r="J1" t="s">
        <v>248</v>
      </c>
    </row>
    <row r="2" spans="1:10" x14ac:dyDescent="0.25">
      <c r="A2">
        <v>1090</v>
      </c>
      <c r="B2">
        <f>VLOOKUP(A2,[1]Sheet7!$F$4:$I$209,4,FALSE)</f>
        <v>9328940</v>
      </c>
      <c r="C2">
        <f>B2</f>
        <v>9328940</v>
      </c>
      <c r="D2" s="3">
        <f>C2/$C$206*100</f>
        <v>11.370356805285805</v>
      </c>
      <c r="E2" t="str">
        <f>IF(D2 &lt;= 60, "A", IF(D2 &lt;= 80, "B", IF(D2 &lt;= 90, "C", "D")))</f>
        <v>A</v>
      </c>
      <c r="H2" t="s">
        <v>212</v>
      </c>
      <c r="I2" s="5" t="s">
        <v>249</v>
      </c>
      <c r="J2" s="5">
        <v>0.6</v>
      </c>
    </row>
    <row r="3" spans="1:10" x14ac:dyDescent="0.25">
      <c r="A3">
        <v>1180</v>
      </c>
      <c r="B3">
        <f>VLOOKUP(A3,[1]Sheet7!$F$4:$I$209,4,FALSE)</f>
        <v>7202900</v>
      </c>
      <c r="C3">
        <f t="shared" ref="C3:C66" si="0">B3+C2</f>
        <v>16531840</v>
      </c>
      <c r="D3" s="3">
        <f t="shared" ref="D3:D66" si="1">C3/$C$206*100</f>
        <v>20.149440284522797</v>
      </c>
      <c r="E3" t="str">
        <f t="shared" ref="E3:E66" si="2">IF(D3 &lt;= 60, "A", IF(D3 &lt;= 80, "B", IF(D3 &lt;= 90, "C", "D")))</f>
        <v>A</v>
      </c>
      <c r="H3" t="s">
        <v>213</v>
      </c>
      <c r="I3" s="5" t="s">
        <v>250</v>
      </c>
      <c r="J3" s="5">
        <v>0.8</v>
      </c>
    </row>
    <row r="4" spans="1:10" x14ac:dyDescent="0.25">
      <c r="A4">
        <v>1055</v>
      </c>
      <c r="B4">
        <f>VLOOKUP(A4,[1]Sheet7!$F$4:$I$209,4,FALSE)</f>
        <v>7055100</v>
      </c>
      <c r="C4">
        <f t="shared" si="0"/>
        <v>23586940</v>
      </c>
      <c r="D4" s="3">
        <f t="shared" si="1"/>
        <v>28.748381246408272</v>
      </c>
      <c r="E4" t="str">
        <f t="shared" si="2"/>
        <v>A</v>
      </c>
      <c r="H4" t="s">
        <v>214</v>
      </c>
      <c r="I4" s="5" t="s">
        <v>251</v>
      </c>
      <c r="J4" s="5">
        <v>0.9</v>
      </c>
    </row>
    <row r="5" spans="1:10" x14ac:dyDescent="0.25">
      <c r="A5">
        <v>1054</v>
      </c>
      <c r="B5">
        <f>VLOOKUP(A5,[1]Sheet7!$F$4:$I$209,4,FALSE)</f>
        <v>5761300</v>
      </c>
      <c r="C5">
        <f t="shared" si="0"/>
        <v>29348240</v>
      </c>
      <c r="D5" s="3">
        <f t="shared" si="1"/>
        <v>35.770404827039414</v>
      </c>
      <c r="E5" t="str">
        <f t="shared" si="2"/>
        <v>A</v>
      </c>
      <c r="H5" t="s">
        <v>215</v>
      </c>
      <c r="I5" s="5" t="s">
        <v>252</v>
      </c>
      <c r="J5" s="5">
        <v>1</v>
      </c>
    </row>
    <row r="6" spans="1:10" x14ac:dyDescent="0.25">
      <c r="A6">
        <v>1092</v>
      </c>
      <c r="B6">
        <f>VLOOKUP(A6,[1]Sheet7!$F$4:$I$209,4,FALSE)</f>
        <v>4084200</v>
      </c>
      <c r="C6">
        <f t="shared" si="0"/>
        <v>33432440</v>
      </c>
      <c r="D6" s="3">
        <f t="shared" si="1"/>
        <v>40.748334931011385</v>
      </c>
      <c r="E6" t="str">
        <f t="shared" si="2"/>
        <v>A</v>
      </c>
    </row>
    <row r="7" spans="1:10" x14ac:dyDescent="0.25">
      <c r="A7">
        <v>1043</v>
      </c>
      <c r="B7">
        <f>VLOOKUP(A7,[1]Sheet7!$F$4:$I$209,4,FALSE)</f>
        <v>3572000</v>
      </c>
      <c r="C7">
        <f t="shared" si="0"/>
        <v>37004440</v>
      </c>
      <c r="D7" s="3">
        <f t="shared" si="1"/>
        <v>45.101982238045295</v>
      </c>
      <c r="E7" t="str">
        <f t="shared" si="2"/>
        <v>A</v>
      </c>
    </row>
    <row r="8" spans="1:10" x14ac:dyDescent="0.25">
      <c r="A8">
        <v>1035</v>
      </c>
      <c r="B8">
        <f>VLOOKUP(A8,[1]Sheet7!$F$4:$I$209,4,FALSE)</f>
        <v>2284800</v>
      </c>
      <c r="C8">
        <f t="shared" si="0"/>
        <v>39289240</v>
      </c>
      <c r="D8" s="3">
        <f t="shared" si="1"/>
        <v>47.886756416967771</v>
      </c>
      <c r="E8" t="str">
        <f t="shared" si="2"/>
        <v>A</v>
      </c>
    </row>
    <row r="9" spans="1:10" x14ac:dyDescent="0.25">
      <c r="A9">
        <v>1155</v>
      </c>
      <c r="B9">
        <f>VLOOKUP(A9,[1]Sheet7!$F$4:$I$209,4,FALSE)</f>
        <v>1938300</v>
      </c>
      <c r="C9">
        <f t="shared" si="0"/>
        <v>41227540</v>
      </c>
      <c r="D9" s="3">
        <f t="shared" si="1"/>
        <v>50.249207305888213</v>
      </c>
      <c r="E9" t="str">
        <f t="shared" si="2"/>
        <v>A</v>
      </c>
    </row>
    <row r="10" spans="1:10" x14ac:dyDescent="0.25">
      <c r="A10">
        <v>1198</v>
      </c>
      <c r="B10">
        <f>VLOOKUP(A10,[1]Sheet7!$F$4:$I$209,4,FALSE)</f>
        <v>1804600</v>
      </c>
      <c r="C10">
        <f t="shared" si="0"/>
        <v>43032140</v>
      </c>
      <c r="D10" s="3">
        <f t="shared" si="1"/>
        <v>52.448701127353324</v>
      </c>
      <c r="E10" t="str">
        <f t="shared" si="2"/>
        <v>A</v>
      </c>
    </row>
    <row r="11" spans="1:10" x14ac:dyDescent="0.25">
      <c r="A11">
        <v>1178</v>
      </c>
      <c r="B11">
        <f>VLOOKUP(A11,[1]Sheet7!$F$4:$I$209,4,FALSE)</f>
        <v>1716660</v>
      </c>
      <c r="C11">
        <f t="shared" si="0"/>
        <v>44748800</v>
      </c>
      <c r="D11" s="3">
        <f t="shared" si="1"/>
        <v>54.541011369820524</v>
      </c>
      <c r="E11" t="str">
        <f t="shared" si="2"/>
        <v>A</v>
      </c>
    </row>
    <row r="12" spans="1:10" x14ac:dyDescent="0.25">
      <c r="A12">
        <v>1193</v>
      </c>
      <c r="B12">
        <f>VLOOKUP(A12,[1]Sheet7!$F$4:$I$209,4,FALSE)</f>
        <v>1707200</v>
      </c>
      <c r="C12">
        <f t="shared" si="0"/>
        <v>46456000</v>
      </c>
      <c r="D12" s="3">
        <f t="shared" si="1"/>
        <v>56.62179151611624</v>
      </c>
      <c r="E12" t="str">
        <f t="shared" si="2"/>
        <v>A</v>
      </c>
    </row>
    <row r="13" spans="1:10" x14ac:dyDescent="0.25">
      <c r="A13">
        <v>1170</v>
      </c>
      <c r="B13">
        <f>VLOOKUP(A13,[1]Sheet7!$F$4:$I$209,4,FALSE)</f>
        <v>1489744</v>
      </c>
      <c r="C13">
        <f t="shared" si="0"/>
        <v>47945744</v>
      </c>
      <c r="D13" s="3">
        <f t="shared" si="1"/>
        <v>58.437530584920808</v>
      </c>
      <c r="E13" t="str">
        <f t="shared" si="2"/>
        <v>A</v>
      </c>
    </row>
    <row r="14" spans="1:10" x14ac:dyDescent="0.25">
      <c r="A14">
        <v>1196</v>
      </c>
      <c r="B14">
        <f>VLOOKUP(A14,[1]Sheet7!$F$4:$I$209,4,FALSE)</f>
        <v>1302104</v>
      </c>
      <c r="C14">
        <f t="shared" si="0"/>
        <v>49247848</v>
      </c>
      <c r="D14" s="3">
        <f t="shared" si="1"/>
        <v>60.024569099220379</v>
      </c>
      <c r="E14" t="str">
        <f t="shared" si="2"/>
        <v>B</v>
      </c>
    </row>
    <row r="15" spans="1:10" x14ac:dyDescent="0.25">
      <c r="A15">
        <v>1205</v>
      </c>
      <c r="B15">
        <f>VLOOKUP(A15,[1]Sheet7!$F$4:$I$209,4,FALSE)</f>
        <v>1161050</v>
      </c>
      <c r="C15">
        <f t="shared" si="0"/>
        <v>50408898</v>
      </c>
      <c r="D15" s="3">
        <f t="shared" si="1"/>
        <v>61.439687297941461</v>
      </c>
      <c r="E15" t="str">
        <f t="shared" si="2"/>
        <v>B</v>
      </c>
    </row>
    <row r="16" spans="1:10" x14ac:dyDescent="0.25">
      <c r="A16">
        <v>1215</v>
      </c>
      <c r="B16">
        <f>VLOOKUP(A16,[1]Sheet7!$F$4:$I$209,4,FALSE)</f>
        <v>1067200</v>
      </c>
      <c r="C16">
        <f t="shared" si="0"/>
        <v>51476098</v>
      </c>
      <c r="D16" s="3">
        <f t="shared" si="1"/>
        <v>62.740418654623042</v>
      </c>
      <c r="E16" t="str">
        <f t="shared" si="2"/>
        <v>B</v>
      </c>
    </row>
    <row r="17" spans="1:10" x14ac:dyDescent="0.25">
      <c r="A17">
        <v>1214</v>
      </c>
      <c r="B17">
        <f>VLOOKUP(A17,[1]Sheet7!$F$4:$I$209,4,FALSE)</f>
        <v>1057500</v>
      </c>
      <c r="C17">
        <f t="shared" si="0"/>
        <v>52533598</v>
      </c>
      <c r="D17" s="3">
        <f t="shared" si="1"/>
        <v>64.029327396837019</v>
      </c>
      <c r="E17" t="str">
        <f t="shared" si="2"/>
        <v>B</v>
      </c>
    </row>
    <row r="18" spans="1:10" x14ac:dyDescent="0.25">
      <c r="A18">
        <v>1168</v>
      </c>
      <c r="B18">
        <f>VLOOKUP(A18,[1]Sheet7!$F$4:$I$209,4,FALSE)</f>
        <v>974100</v>
      </c>
      <c r="C18">
        <f t="shared" si="0"/>
        <v>53507698</v>
      </c>
      <c r="D18" s="3">
        <f t="shared" si="1"/>
        <v>65.216586031154421</v>
      </c>
      <c r="E18" t="str">
        <f t="shared" si="2"/>
        <v>B</v>
      </c>
    </row>
    <row r="19" spans="1:10" x14ac:dyDescent="0.25">
      <c r="A19">
        <v>1213</v>
      </c>
      <c r="B19">
        <f>VLOOKUP(A19,[1]Sheet7!$F$4:$I$209,4,FALSE)</f>
        <v>896000</v>
      </c>
      <c r="C19">
        <f t="shared" si="0"/>
        <v>54403698</v>
      </c>
      <c r="D19" s="3">
        <f t="shared" si="1"/>
        <v>66.308654336614211</v>
      </c>
      <c r="E19" t="str">
        <f t="shared" si="2"/>
        <v>B</v>
      </c>
    </row>
    <row r="20" spans="1:10" x14ac:dyDescent="0.25">
      <c r="A20">
        <v>1192</v>
      </c>
      <c r="B20">
        <f>VLOOKUP(A20,[1]Sheet7!$F$4:$I$209,4,FALSE)</f>
        <v>873988</v>
      </c>
      <c r="C20">
        <f t="shared" si="0"/>
        <v>55277686</v>
      </c>
      <c r="D20" s="3">
        <f t="shared" si="1"/>
        <v>67.373893839016205</v>
      </c>
      <c r="E20" t="str">
        <f t="shared" si="2"/>
        <v>B</v>
      </c>
      <c r="J20" s="4"/>
    </row>
    <row r="21" spans="1:10" x14ac:dyDescent="0.25">
      <c r="A21">
        <v>1161</v>
      </c>
      <c r="B21">
        <f>VLOOKUP(A21,[1]Sheet7!$F$4:$I$209,4,FALSE)</f>
        <v>541404</v>
      </c>
      <c r="C21">
        <f t="shared" si="0"/>
        <v>55819090</v>
      </c>
      <c r="D21" s="3">
        <f t="shared" si="1"/>
        <v>68.03377123728535</v>
      </c>
      <c r="E21" t="str">
        <f t="shared" si="2"/>
        <v>B</v>
      </c>
      <c r="J21" s="5"/>
    </row>
    <row r="22" spans="1:10" x14ac:dyDescent="0.25">
      <c r="A22">
        <v>1167</v>
      </c>
      <c r="B22">
        <f>VLOOKUP(A22,[1]Sheet7!$F$4:$I$209,4,FALSE)</f>
        <v>538920</v>
      </c>
      <c r="C22">
        <f t="shared" si="0"/>
        <v>56358010</v>
      </c>
      <c r="D22" s="3">
        <f t="shared" si="1"/>
        <v>68.69062107118981</v>
      </c>
      <c r="E22" t="str">
        <f t="shared" si="2"/>
        <v>B</v>
      </c>
      <c r="J22" s="5"/>
    </row>
    <row r="23" spans="1:10" x14ac:dyDescent="0.25">
      <c r="A23">
        <v>1207</v>
      </c>
      <c r="B23">
        <f>VLOOKUP(A23,[1]Sheet7!$F$4:$I$209,4,FALSE)</f>
        <v>534391</v>
      </c>
      <c r="C23">
        <f t="shared" si="0"/>
        <v>56892401</v>
      </c>
      <c r="D23" s="3">
        <f t="shared" si="1"/>
        <v>69.341950841081513</v>
      </c>
      <c r="E23" t="str">
        <f t="shared" si="2"/>
        <v>B</v>
      </c>
      <c r="J23" s="5"/>
    </row>
    <row r="24" spans="1:10" x14ac:dyDescent="0.25">
      <c r="A24">
        <v>1194</v>
      </c>
      <c r="B24">
        <f>VLOOKUP(A24,[1]Sheet7!$F$4:$I$209,4,FALSE)</f>
        <v>526904</v>
      </c>
      <c r="C24">
        <f t="shared" si="0"/>
        <v>57419305</v>
      </c>
      <c r="D24" s="3">
        <f t="shared" si="1"/>
        <v>69.984155258960968</v>
      </c>
      <c r="E24" t="str">
        <f t="shared" si="2"/>
        <v>B</v>
      </c>
      <c r="J24" s="5"/>
    </row>
    <row r="25" spans="1:10" x14ac:dyDescent="0.25">
      <c r="A25">
        <v>1179</v>
      </c>
      <c r="B25">
        <f>VLOOKUP(A25,[1]Sheet7!$F$4:$I$209,4,FALSE)</f>
        <v>519498</v>
      </c>
      <c r="C25">
        <f t="shared" si="0"/>
        <v>57938803</v>
      </c>
      <c r="D25" s="3">
        <f t="shared" si="1"/>
        <v>70.6173330497531</v>
      </c>
      <c r="E25" t="str">
        <f t="shared" si="2"/>
        <v>B</v>
      </c>
    </row>
    <row r="26" spans="1:10" x14ac:dyDescent="0.25">
      <c r="A26">
        <v>1206</v>
      </c>
      <c r="B26">
        <f>VLOOKUP(A26,[1]Sheet7!$F$4:$I$209,4,FALSE)</f>
        <v>509922</v>
      </c>
      <c r="C26">
        <f t="shared" si="0"/>
        <v>58448725</v>
      </c>
      <c r="D26" s="3">
        <f t="shared" si="1"/>
        <v>71.238839360530619</v>
      </c>
      <c r="E26" t="str">
        <f t="shared" si="2"/>
        <v>B</v>
      </c>
    </row>
    <row r="27" spans="1:10" x14ac:dyDescent="0.25">
      <c r="A27">
        <v>1166</v>
      </c>
      <c r="B27">
        <f>VLOOKUP(A27,[1]Sheet7!$F$4:$I$209,4,FALSE)</f>
        <v>499320</v>
      </c>
      <c r="C27">
        <f t="shared" si="0"/>
        <v>58948045</v>
      </c>
      <c r="D27" s="3">
        <f t="shared" si="1"/>
        <v>71.847423675577701</v>
      </c>
      <c r="E27" t="str">
        <f t="shared" si="2"/>
        <v>B</v>
      </c>
    </row>
    <row r="28" spans="1:10" x14ac:dyDescent="0.25">
      <c r="A28">
        <v>1211</v>
      </c>
      <c r="B28">
        <f>VLOOKUP(A28,[1]Sheet7!$F$4:$I$209,4,FALSE)</f>
        <v>497028</v>
      </c>
      <c r="C28">
        <f t="shared" si="0"/>
        <v>59445073</v>
      </c>
      <c r="D28" s="3">
        <f t="shared" si="1"/>
        <v>72.453214440896986</v>
      </c>
      <c r="E28" t="str">
        <f t="shared" si="2"/>
        <v>B</v>
      </c>
    </row>
    <row r="29" spans="1:10" x14ac:dyDescent="0.25">
      <c r="A29">
        <v>1171</v>
      </c>
      <c r="B29">
        <f>VLOOKUP(A29,[1]Sheet7!$F$4:$I$209,4,FALSE)</f>
        <v>493924</v>
      </c>
      <c r="C29">
        <f t="shared" si="0"/>
        <v>59938997</v>
      </c>
      <c r="D29" s="3">
        <f t="shared" si="1"/>
        <v>73.055221969586626</v>
      </c>
      <c r="E29" t="str">
        <f t="shared" si="2"/>
        <v>B</v>
      </c>
    </row>
    <row r="30" spans="1:10" x14ac:dyDescent="0.25">
      <c r="A30">
        <v>1210</v>
      </c>
      <c r="B30">
        <f>VLOOKUP(A30,[1]Sheet7!$F$4:$I$209,4,FALSE)</f>
        <v>488870</v>
      </c>
      <c r="C30">
        <f t="shared" si="0"/>
        <v>60427867</v>
      </c>
      <c r="D30" s="3">
        <f t="shared" si="1"/>
        <v>73.651069550490789</v>
      </c>
      <c r="E30" t="str">
        <f t="shared" si="2"/>
        <v>B</v>
      </c>
    </row>
    <row r="31" spans="1:10" x14ac:dyDescent="0.25">
      <c r="A31">
        <v>1201</v>
      </c>
      <c r="B31">
        <f>VLOOKUP(A31,[1]Sheet7!$F$4:$I$209,4,FALSE)</f>
        <v>486772</v>
      </c>
      <c r="C31">
        <f t="shared" si="0"/>
        <v>60914639</v>
      </c>
      <c r="D31" s="3">
        <f t="shared" si="1"/>
        <v>74.244360033956497</v>
      </c>
      <c r="E31" t="str">
        <f t="shared" si="2"/>
        <v>B</v>
      </c>
    </row>
    <row r="32" spans="1:10" x14ac:dyDescent="0.25">
      <c r="A32">
        <v>1036</v>
      </c>
      <c r="B32">
        <f>VLOOKUP(A32,[1]Sheet7!$F$4:$I$209,4,FALSE)</f>
        <v>482160</v>
      </c>
      <c r="C32">
        <f t="shared" si="0"/>
        <v>61396799</v>
      </c>
      <c r="D32" s="3">
        <f t="shared" si="1"/>
        <v>74.832029290832054</v>
      </c>
      <c r="E32" t="str">
        <f t="shared" si="2"/>
        <v>B</v>
      </c>
    </row>
    <row r="33" spans="1:5" x14ac:dyDescent="0.25">
      <c r="A33">
        <v>1165</v>
      </c>
      <c r="B33">
        <f>VLOOKUP(A33,[1]Sheet7!$F$4:$I$209,4,FALSE)</f>
        <v>478315</v>
      </c>
      <c r="C33">
        <f t="shared" si="0"/>
        <v>61875114</v>
      </c>
      <c r="D33" s="3">
        <f t="shared" si="1"/>
        <v>75.415012160838742</v>
      </c>
      <c r="E33" t="str">
        <f t="shared" si="2"/>
        <v>B</v>
      </c>
    </row>
    <row r="34" spans="1:5" x14ac:dyDescent="0.25">
      <c r="A34">
        <v>1199</v>
      </c>
      <c r="B34">
        <f>VLOOKUP(A34,[1]Sheet7!$F$4:$I$209,4,FALSE)</f>
        <v>453944</v>
      </c>
      <c r="C34">
        <f t="shared" si="0"/>
        <v>62329058</v>
      </c>
      <c r="D34" s="3">
        <f t="shared" si="1"/>
        <v>75.968291016702182</v>
      </c>
      <c r="E34" t="str">
        <f t="shared" si="2"/>
        <v>B</v>
      </c>
    </row>
    <row r="35" spans="1:5" x14ac:dyDescent="0.25">
      <c r="A35">
        <v>1091</v>
      </c>
      <c r="B35">
        <f>VLOOKUP(A35,[1]Sheet7!$F$4:$I$209,4,FALSE)</f>
        <v>453600</v>
      </c>
      <c r="C35">
        <f t="shared" si="0"/>
        <v>62782658</v>
      </c>
      <c r="D35" s="3">
        <f t="shared" si="1"/>
        <v>76.521150596341201</v>
      </c>
      <c r="E35" t="str">
        <f t="shared" si="2"/>
        <v>B</v>
      </c>
    </row>
    <row r="36" spans="1:5" x14ac:dyDescent="0.25">
      <c r="A36">
        <v>1162</v>
      </c>
      <c r="B36">
        <f>VLOOKUP(A36,[1]Sheet7!$F$4:$I$209,4,FALSE)</f>
        <v>435825</v>
      </c>
      <c r="C36">
        <f t="shared" si="0"/>
        <v>63218483</v>
      </c>
      <c r="D36" s="3">
        <f t="shared" si="1"/>
        <v>77.052345539674931</v>
      </c>
      <c r="E36" t="str">
        <f t="shared" si="2"/>
        <v>B</v>
      </c>
    </row>
    <row r="37" spans="1:5" x14ac:dyDescent="0.25">
      <c r="A37">
        <v>1176</v>
      </c>
      <c r="B37">
        <f>VLOOKUP(A37,[1]Sheet7!$F$4:$I$209,4,FALSE)</f>
        <v>434910</v>
      </c>
      <c r="C37">
        <f t="shared" si="0"/>
        <v>63653393</v>
      </c>
      <c r="D37" s="3">
        <f t="shared" si="1"/>
        <v>77.582425257004743</v>
      </c>
      <c r="E37" t="str">
        <f t="shared" si="2"/>
        <v>B</v>
      </c>
    </row>
    <row r="38" spans="1:5" x14ac:dyDescent="0.25">
      <c r="A38">
        <v>1177</v>
      </c>
      <c r="B38">
        <f>VLOOKUP(A38,[1]Sheet7!$F$4:$I$209,4,FALSE)</f>
        <v>433770</v>
      </c>
      <c r="C38">
        <f t="shared" si="0"/>
        <v>64087163</v>
      </c>
      <c r="D38" s="3">
        <f t="shared" si="1"/>
        <v>78.111115512428057</v>
      </c>
      <c r="E38" t="str">
        <f t="shared" si="2"/>
        <v>B</v>
      </c>
    </row>
    <row r="39" spans="1:5" x14ac:dyDescent="0.25">
      <c r="A39">
        <v>1037</v>
      </c>
      <c r="B39">
        <f>VLOOKUP(A39,[1]Sheet7!$F$4:$I$209,4,FALSE)</f>
        <v>432960</v>
      </c>
      <c r="C39">
        <f t="shared" si="0"/>
        <v>64520123</v>
      </c>
      <c r="D39" s="3">
        <f t="shared" si="1"/>
        <v>78.638818518602022</v>
      </c>
      <c r="E39" t="str">
        <f t="shared" si="2"/>
        <v>B</v>
      </c>
    </row>
    <row r="40" spans="1:5" x14ac:dyDescent="0.25">
      <c r="A40">
        <v>1163</v>
      </c>
      <c r="B40">
        <f>VLOOKUP(A40,[1]Sheet7!$F$4:$I$209,4,FALSE)</f>
        <v>429186</v>
      </c>
      <c r="C40">
        <f t="shared" si="0"/>
        <v>64949309</v>
      </c>
      <c r="D40" s="3">
        <f t="shared" si="1"/>
        <v>79.16192167456974</v>
      </c>
      <c r="E40" t="str">
        <f t="shared" si="2"/>
        <v>B</v>
      </c>
    </row>
    <row r="41" spans="1:5" x14ac:dyDescent="0.25">
      <c r="A41">
        <v>1202</v>
      </c>
      <c r="B41">
        <f>VLOOKUP(A41,[1]Sheet7!$F$4:$I$209,4,FALSE)</f>
        <v>418400</v>
      </c>
      <c r="C41">
        <f t="shared" si="0"/>
        <v>65367709</v>
      </c>
      <c r="D41" s="3">
        <f t="shared" si="1"/>
        <v>79.671878570779981</v>
      </c>
      <c r="E41" t="str">
        <f t="shared" si="2"/>
        <v>B</v>
      </c>
    </row>
    <row r="42" spans="1:5" x14ac:dyDescent="0.25">
      <c r="A42">
        <v>1070</v>
      </c>
      <c r="B42">
        <f>VLOOKUP(A42,[1]Sheet7!$F$4:$I$209,4,FALSE)</f>
        <v>400200</v>
      </c>
      <c r="C42">
        <f t="shared" si="0"/>
        <v>65767909</v>
      </c>
      <c r="D42" s="3">
        <f t="shared" si="1"/>
        <v>80.159652829535574</v>
      </c>
      <c r="E42" t="str">
        <f t="shared" si="2"/>
        <v>C</v>
      </c>
    </row>
    <row r="43" spans="1:5" x14ac:dyDescent="0.25">
      <c r="A43">
        <v>1209</v>
      </c>
      <c r="B43">
        <f>VLOOKUP(A43,[1]Sheet7!$F$4:$I$209,4,FALSE)</f>
        <v>398620</v>
      </c>
      <c r="C43">
        <f t="shared" si="0"/>
        <v>66166529</v>
      </c>
      <c r="D43" s="3">
        <f t="shared" si="1"/>
        <v>80.645501342841811</v>
      </c>
      <c r="E43" t="str">
        <f t="shared" si="2"/>
        <v>C</v>
      </c>
    </row>
    <row r="44" spans="1:5" x14ac:dyDescent="0.25">
      <c r="A44">
        <v>1183</v>
      </c>
      <c r="B44">
        <f>VLOOKUP(A44,[1]Sheet7!$F$4:$I$209,4,FALSE)</f>
        <v>397224</v>
      </c>
      <c r="C44">
        <f t="shared" si="0"/>
        <v>66563753</v>
      </c>
      <c r="D44" s="3">
        <f t="shared" si="1"/>
        <v>81.129648374725676</v>
      </c>
      <c r="E44" t="str">
        <f t="shared" si="2"/>
        <v>C</v>
      </c>
    </row>
    <row r="45" spans="1:5" x14ac:dyDescent="0.25">
      <c r="A45">
        <v>1172</v>
      </c>
      <c r="B45">
        <f>VLOOKUP(A45,[1]Sheet7!$F$4:$I$209,4,FALSE)</f>
        <v>397182</v>
      </c>
      <c r="C45">
        <f t="shared" si="0"/>
        <v>66960935</v>
      </c>
      <c r="D45" s="3">
        <f t="shared" si="1"/>
        <v>81.613744215907758</v>
      </c>
      <c r="E45" t="str">
        <f t="shared" si="2"/>
        <v>C</v>
      </c>
    </row>
    <row r="46" spans="1:5" x14ac:dyDescent="0.25">
      <c r="A46">
        <v>1204</v>
      </c>
      <c r="B46">
        <f>VLOOKUP(A46,[1]Sheet7!$F$4:$I$209,4,FALSE)</f>
        <v>391300</v>
      </c>
      <c r="C46">
        <f t="shared" si="0"/>
        <v>67352235</v>
      </c>
      <c r="D46" s="3">
        <f t="shared" si="1"/>
        <v>82.090670921182777</v>
      </c>
      <c r="E46" t="str">
        <f t="shared" si="2"/>
        <v>C</v>
      </c>
    </row>
    <row r="47" spans="1:5" x14ac:dyDescent="0.25">
      <c r="A47">
        <v>1203</v>
      </c>
      <c r="B47">
        <f>VLOOKUP(A47,[1]Sheet7!$F$4:$I$209,4,FALSE)</f>
        <v>390494</v>
      </c>
      <c r="C47">
        <f t="shared" si="0"/>
        <v>67742729</v>
      </c>
      <c r="D47" s="3">
        <f t="shared" si="1"/>
        <v>82.566615252513373</v>
      </c>
      <c r="E47" t="str">
        <f t="shared" si="2"/>
        <v>C</v>
      </c>
    </row>
    <row r="48" spans="1:5" x14ac:dyDescent="0.25">
      <c r="A48">
        <v>1200</v>
      </c>
      <c r="B48">
        <f>VLOOKUP(A48,[1]Sheet7!$F$4:$I$209,4,FALSE)</f>
        <v>389515</v>
      </c>
      <c r="C48">
        <f t="shared" si="0"/>
        <v>68132244</v>
      </c>
      <c r="D48" s="3">
        <f t="shared" si="1"/>
        <v>83.041366352961106</v>
      </c>
      <c r="E48" t="str">
        <f t="shared" si="2"/>
        <v>C</v>
      </c>
    </row>
    <row r="49" spans="1:5" x14ac:dyDescent="0.25">
      <c r="A49">
        <v>1169</v>
      </c>
      <c r="B49">
        <f>VLOOKUP(A49,[1]Sheet7!$F$4:$I$209,4,FALSE)</f>
        <v>385671</v>
      </c>
      <c r="C49">
        <f t="shared" si="0"/>
        <v>68517915</v>
      </c>
      <c r="D49" s="3">
        <f t="shared" si="1"/>
        <v>83.511432285366226</v>
      </c>
      <c r="E49" t="str">
        <f t="shared" si="2"/>
        <v>C</v>
      </c>
    </row>
    <row r="50" spans="1:5" x14ac:dyDescent="0.25">
      <c r="A50">
        <v>1182</v>
      </c>
      <c r="B50">
        <f>VLOOKUP(A50,[1]Sheet7!$F$4:$I$209,4,FALSE)</f>
        <v>385592</v>
      </c>
      <c r="C50">
        <f t="shared" si="0"/>
        <v>68903507</v>
      </c>
      <c r="D50" s="3">
        <f t="shared" si="1"/>
        <v>83.981401930498862</v>
      </c>
      <c r="E50" t="str">
        <f t="shared" si="2"/>
        <v>C</v>
      </c>
    </row>
    <row r="51" spans="1:5" x14ac:dyDescent="0.25">
      <c r="A51">
        <v>1187</v>
      </c>
      <c r="B51">
        <f>VLOOKUP(A51,[1]Sheet7!$F$4:$I$209,4,FALSE)</f>
        <v>373932</v>
      </c>
      <c r="C51">
        <f t="shared" si="0"/>
        <v>69277439</v>
      </c>
      <c r="D51" s="3">
        <f t="shared" si="1"/>
        <v>84.437160061745743</v>
      </c>
      <c r="E51" t="str">
        <f t="shared" si="2"/>
        <v>C</v>
      </c>
    </row>
    <row r="52" spans="1:5" x14ac:dyDescent="0.25">
      <c r="A52">
        <v>1186</v>
      </c>
      <c r="B52">
        <f>VLOOKUP(A52,[1]Sheet7!$F$4:$I$209,4,FALSE)</f>
        <v>366485</v>
      </c>
      <c r="C52">
        <f t="shared" si="0"/>
        <v>69643924</v>
      </c>
      <c r="D52" s="3">
        <f t="shared" si="1"/>
        <v>84.88384159402969</v>
      </c>
      <c r="E52" t="str">
        <f t="shared" si="2"/>
        <v>C</v>
      </c>
    </row>
    <row r="53" spans="1:5" x14ac:dyDescent="0.25">
      <c r="A53">
        <v>1160</v>
      </c>
      <c r="B53">
        <f>VLOOKUP(A53,[1]Sheet7!$F$4:$I$209,4,FALSE)</f>
        <v>361449</v>
      </c>
      <c r="C53">
        <f t="shared" si="0"/>
        <v>70005373</v>
      </c>
      <c r="D53" s="3">
        <f t="shared" si="1"/>
        <v>85.324385117400396</v>
      </c>
      <c r="E53" t="str">
        <f t="shared" si="2"/>
        <v>C</v>
      </c>
    </row>
    <row r="54" spans="1:5" x14ac:dyDescent="0.25">
      <c r="A54">
        <v>1197</v>
      </c>
      <c r="B54">
        <f>VLOOKUP(A54,[1]Sheet7!$F$4:$I$209,4,FALSE)</f>
        <v>361242</v>
      </c>
      <c r="C54">
        <f t="shared" si="0"/>
        <v>70366615</v>
      </c>
      <c r="D54" s="3">
        <f t="shared" si="1"/>
        <v>85.764676343740689</v>
      </c>
      <c r="E54" t="str">
        <f t="shared" si="2"/>
        <v>C</v>
      </c>
    </row>
    <row r="55" spans="1:5" x14ac:dyDescent="0.25">
      <c r="A55">
        <v>1174</v>
      </c>
      <c r="B55">
        <f>VLOOKUP(A55,[1]Sheet7!$F$4:$I$209,4,FALSE)</f>
        <v>359996</v>
      </c>
      <c r="C55">
        <f t="shared" si="0"/>
        <v>70726611</v>
      </c>
      <c r="D55" s="3">
        <f t="shared" si="1"/>
        <v>86.2034489125937</v>
      </c>
      <c r="E55" t="str">
        <f t="shared" si="2"/>
        <v>C</v>
      </c>
    </row>
    <row r="56" spans="1:5" x14ac:dyDescent="0.25">
      <c r="A56">
        <v>1040</v>
      </c>
      <c r="B56">
        <f>VLOOKUP(A56,[1]Sheet7!$F$4:$I$209,4,FALSE)</f>
        <v>359090</v>
      </c>
      <c r="C56">
        <f t="shared" si="0"/>
        <v>71085701</v>
      </c>
      <c r="D56" s="3">
        <f t="shared" si="1"/>
        <v>86.641117224878926</v>
      </c>
      <c r="E56" t="str">
        <f t="shared" si="2"/>
        <v>C</v>
      </c>
    </row>
    <row r="57" spans="1:5" x14ac:dyDescent="0.25">
      <c r="A57">
        <v>1173</v>
      </c>
      <c r="B57">
        <f>VLOOKUP(A57,[1]Sheet7!$F$4:$I$209,4,FALSE)</f>
        <v>355945</v>
      </c>
      <c r="C57">
        <f t="shared" si="0"/>
        <v>71441646</v>
      </c>
      <c r="D57" s="3">
        <f t="shared" si="1"/>
        <v>87.074952328658924</v>
      </c>
      <c r="E57" t="str">
        <f t="shared" si="2"/>
        <v>C</v>
      </c>
    </row>
    <row r="58" spans="1:5" x14ac:dyDescent="0.25">
      <c r="A58">
        <v>1212</v>
      </c>
      <c r="B58">
        <f>VLOOKUP(A58,[1]Sheet7!$F$4:$I$209,4,FALSE)</f>
        <v>343962</v>
      </c>
      <c r="C58">
        <f t="shared" si="0"/>
        <v>71785608</v>
      </c>
      <c r="D58" s="3">
        <f t="shared" si="1"/>
        <v>87.494182237679652</v>
      </c>
      <c r="E58" t="str">
        <f t="shared" si="2"/>
        <v>C</v>
      </c>
    </row>
    <row r="59" spans="1:5" x14ac:dyDescent="0.25">
      <c r="A59">
        <v>1181</v>
      </c>
      <c r="B59">
        <f>VLOOKUP(A59,[1]Sheet7!$F$4:$I$209,4,FALSE)</f>
        <v>332866</v>
      </c>
      <c r="C59">
        <f t="shared" si="0"/>
        <v>72118474</v>
      </c>
      <c r="D59" s="3">
        <f t="shared" si="1"/>
        <v>87.899888050810432</v>
      </c>
      <c r="E59" t="str">
        <f t="shared" si="2"/>
        <v>C</v>
      </c>
    </row>
    <row r="60" spans="1:5" x14ac:dyDescent="0.25">
      <c r="A60">
        <v>1191</v>
      </c>
      <c r="B60">
        <f>VLOOKUP(A60,[1]Sheet7!$F$4:$I$209,4,FALSE)</f>
        <v>324880</v>
      </c>
      <c r="C60">
        <f t="shared" si="0"/>
        <v>72443354</v>
      </c>
      <c r="D60" s="3">
        <f t="shared" si="1"/>
        <v>88.295860317638315</v>
      </c>
      <c r="E60" t="str">
        <f t="shared" si="2"/>
        <v>C</v>
      </c>
    </row>
    <row r="61" spans="1:5" x14ac:dyDescent="0.25">
      <c r="A61">
        <v>1185</v>
      </c>
      <c r="B61">
        <f>VLOOKUP(A61,[1]Sheet7!$F$4:$I$209,4,FALSE)</f>
        <v>322536</v>
      </c>
      <c r="C61">
        <f t="shared" si="0"/>
        <v>72765890</v>
      </c>
      <c r="D61" s="3">
        <f t="shared" si="1"/>
        <v>88.688975655774215</v>
      </c>
      <c r="E61" t="str">
        <f t="shared" si="2"/>
        <v>C</v>
      </c>
    </row>
    <row r="62" spans="1:5" x14ac:dyDescent="0.25">
      <c r="A62">
        <v>1189</v>
      </c>
      <c r="B62">
        <f>VLOOKUP(A62,[1]Sheet7!$F$4:$I$209,4,FALSE)</f>
        <v>312120</v>
      </c>
      <c r="C62">
        <f t="shared" si="0"/>
        <v>73078010</v>
      </c>
      <c r="D62" s="3">
        <f t="shared" si="1"/>
        <v>89.069395699859172</v>
      </c>
      <c r="E62" t="str">
        <f t="shared" si="2"/>
        <v>C</v>
      </c>
    </row>
    <row r="63" spans="1:5" x14ac:dyDescent="0.25">
      <c r="A63">
        <v>1195</v>
      </c>
      <c r="B63">
        <f>VLOOKUP(A63,[1]Sheet7!$F$4:$I$209,4,FALSE)</f>
        <v>307710</v>
      </c>
      <c r="C63">
        <f t="shared" si="0"/>
        <v>73385720</v>
      </c>
      <c r="D63" s="3">
        <f t="shared" si="1"/>
        <v>89.444440720253169</v>
      </c>
      <c r="E63" t="str">
        <f t="shared" si="2"/>
        <v>C</v>
      </c>
    </row>
    <row r="64" spans="1:5" x14ac:dyDescent="0.25">
      <c r="A64">
        <v>1159</v>
      </c>
      <c r="B64">
        <f>VLOOKUP(A64,[1]Sheet7!$F$4:$I$209,4,FALSE)</f>
        <v>305085</v>
      </c>
      <c r="C64">
        <f t="shared" si="0"/>
        <v>73690805</v>
      </c>
      <c r="D64" s="3">
        <f t="shared" si="1"/>
        <v>89.816286321783537</v>
      </c>
      <c r="E64" t="str">
        <f t="shared" si="2"/>
        <v>C</v>
      </c>
    </row>
    <row r="65" spans="1:5" x14ac:dyDescent="0.25">
      <c r="A65">
        <v>1150</v>
      </c>
      <c r="B65">
        <f>VLOOKUP(A65,[1]Sheet7!$F$4:$I$209,4,FALSE)</f>
        <v>303303</v>
      </c>
      <c r="C65">
        <f t="shared" si="0"/>
        <v>73994108</v>
      </c>
      <c r="D65" s="3">
        <f t="shared" si="1"/>
        <v>90.185959974965314</v>
      </c>
      <c r="E65" t="str">
        <f t="shared" si="2"/>
        <v>D</v>
      </c>
    </row>
    <row r="66" spans="1:5" x14ac:dyDescent="0.25">
      <c r="A66">
        <v>1175</v>
      </c>
      <c r="B66">
        <f>VLOOKUP(A66,[1]Sheet7!$F$4:$I$209,4,FALSE)</f>
        <v>297000</v>
      </c>
      <c r="C66">
        <f t="shared" si="0"/>
        <v>74291108</v>
      </c>
      <c r="D66" s="3">
        <f t="shared" si="1"/>
        <v>90.547951366395623</v>
      </c>
      <c r="E66" t="str">
        <f t="shared" si="2"/>
        <v>D</v>
      </c>
    </row>
    <row r="67" spans="1:5" x14ac:dyDescent="0.25">
      <c r="A67">
        <v>1151</v>
      </c>
      <c r="B67">
        <f>VLOOKUP(A67,[1]Sheet7!$F$4:$I$209,4,FALSE)</f>
        <v>290200</v>
      </c>
      <c r="C67">
        <f t="shared" ref="C67:C130" si="3">B67+C66</f>
        <v>74581308</v>
      </c>
      <c r="D67" s="3">
        <f t="shared" ref="D67:D130" si="4">C67/$C$206*100</f>
        <v>90.901654739436282</v>
      </c>
      <c r="E67" t="str">
        <f t="shared" ref="E67:E130" si="5">IF(D67 &lt;= 60, "A", IF(D67 &lt;= 80, "B", IF(D67 &lt;= 90, "C", "D")))</f>
        <v>D</v>
      </c>
    </row>
    <row r="68" spans="1:5" x14ac:dyDescent="0.25">
      <c r="A68">
        <v>1152</v>
      </c>
      <c r="B68">
        <f>VLOOKUP(A68,[1]Sheet7!$F$4:$I$209,4,FALSE)</f>
        <v>284481</v>
      </c>
      <c r="C68">
        <f t="shared" si="3"/>
        <v>74865789</v>
      </c>
      <c r="D68" s="3">
        <f t="shared" si="4"/>
        <v>91.248387645245998</v>
      </c>
      <c r="E68" t="str">
        <f t="shared" si="5"/>
        <v>D</v>
      </c>
    </row>
    <row r="69" spans="1:5" x14ac:dyDescent="0.25">
      <c r="A69">
        <v>1156</v>
      </c>
      <c r="B69">
        <f>VLOOKUP(A69,[1]Sheet7!$F$4:$I$209,4,FALSE)</f>
        <v>277506</v>
      </c>
      <c r="C69">
        <f t="shared" si="3"/>
        <v>75143295</v>
      </c>
      <c r="D69" s="3">
        <f t="shared" si="4"/>
        <v>91.586619238075158</v>
      </c>
      <c r="E69" t="str">
        <f t="shared" si="5"/>
        <v>D</v>
      </c>
    </row>
    <row r="70" spans="1:5" x14ac:dyDescent="0.25">
      <c r="A70">
        <v>1184</v>
      </c>
      <c r="B70">
        <f>VLOOKUP(A70,[1]Sheet7!$F$4:$I$209,4,FALSE)</f>
        <v>273600</v>
      </c>
      <c r="C70">
        <f t="shared" si="3"/>
        <v>75416895</v>
      </c>
      <c r="D70" s="3">
        <f t="shared" si="4"/>
        <v>91.920090095635203</v>
      </c>
      <c r="E70" t="str">
        <f t="shared" si="5"/>
        <v>D</v>
      </c>
    </row>
    <row r="71" spans="1:5" x14ac:dyDescent="0.25">
      <c r="A71">
        <v>1208</v>
      </c>
      <c r="B71">
        <f>VLOOKUP(A71,[1]Sheet7!$F$4:$I$209,4,FALSE)</f>
        <v>251685</v>
      </c>
      <c r="C71">
        <f t="shared" si="3"/>
        <v>75668580</v>
      </c>
      <c r="D71" s="3">
        <f t="shared" si="4"/>
        <v>92.22685037628213</v>
      </c>
      <c r="E71" t="str">
        <f t="shared" si="5"/>
        <v>D</v>
      </c>
    </row>
    <row r="72" spans="1:5" x14ac:dyDescent="0.25">
      <c r="A72">
        <v>1154</v>
      </c>
      <c r="B72">
        <f>VLOOKUP(A72,[1]Sheet7!$F$4:$I$209,4,FALSE)</f>
        <v>247086</v>
      </c>
      <c r="C72">
        <f t="shared" si="3"/>
        <v>75915666</v>
      </c>
      <c r="D72" s="3">
        <f t="shared" si="4"/>
        <v>92.528005275079934</v>
      </c>
      <c r="E72" t="str">
        <f t="shared" si="5"/>
        <v>D</v>
      </c>
    </row>
    <row r="73" spans="1:5" x14ac:dyDescent="0.25">
      <c r="A73">
        <v>1157</v>
      </c>
      <c r="B73">
        <f>VLOOKUP(A73,[1]Sheet7!$F$4:$I$209,4,FALSE)</f>
        <v>242202</v>
      </c>
      <c r="C73">
        <f t="shared" si="3"/>
        <v>76157868</v>
      </c>
      <c r="D73" s="3">
        <f t="shared" si="4"/>
        <v>92.823207426552017</v>
      </c>
      <c r="E73" t="str">
        <f t="shared" si="5"/>
        <v>D</v>
      </c>
    </row>
    <row r="74" spans="1:5" x14ac:dyDescent="0.25">
      <c r="A74">
        <v>1021</v>
      </c>
      <c r="B74">
        <f>VLOOKUP(A74,[1]Sheet7!$F$4:$I$209,4,FALSE)</f>
        <v>232300</v>
      </c>
      <c r="C74">
        <f t="shared" si="3"/>
        <v>76390168</v>
      </c>
      <c r="D74" s="3">
        <f t="shared" si="4"/>
        <v>93.106340760657275</v>
      </c>
      <c r="E74" t="str">
        <f t="shared" si="5"/>
        <v>D</v>
      </c>
    </row>
    <row r="75" spans="1:5" x14ac:dyDescent="0.25">
      <c r="A75">
        <v>1188</v>
      </c>
      <c r="B75">
        <f>VLOOKUP(A75,[1]Sheet7!$F$4:$I$209,4,FALSE)</f>
        <v>232290</v>
      </c>
      <c r="C75">
        <f t="shared" si="3"/>
        <v>76622458</v>
      </c>
      <c r="D75" s="3">
        <f t="shared" si="4"/>
        <v>93.389461906500188</v>
      </c>
      <c r="E75" t="str">
        <f t="shared" si="5"/>
        <v>D</v>
      </c>
    </row>
    <row r="76" spans="1:5" x14ac:dyDescent="0.25">
      <c r="A76">
        <v>1164</v>
      </c>
      <c r="B76">
        <f>VLOOKUP(A76,[1]Sheet7!$F$4:$I$209,4,FALSE)</f>
        <v>230621</v>
      </c>
      <c r="C76">
        <f t="shared" si="3"/>
        <v>76853079</v>
      </c>
      <c r="D76" s="3">
        <f t="shared" si="4"/>
        <v>93.670548831358929</v>
      </c>
      <c r="E76" t="str">
        <f t="shared" si="5"/>
        <v>D</v>
      </c>
    </row>
    <row r="77" spans="1:5" x14ac:dyDescent="0.25">
      <c r="A77">
        <v>1190</v>
      </c>
      <c r="B77">
        <f>VLOOKUP(A77,[1]Sheet7!$F$4:$I$209,4,FALSE)</f>
        <v>229086</v>
      </c>
      <c r="C77">
        <f t="shared" si="3"/>
        <v>77082165</v>
      </c>
      <c r="D77" s="3">
        <f t="shared" si="4"/>
        <v>93.94976485794885</v>
      </c>
      <c r="E77" t="str">
        <f t="shared" si="5"/>
        <v>D</v>
      </c>
    </row>
    <row r="78" spans="1:5" x14ac:dyDescent="0.25">
      <c r="A78">
        <v>1131</v>
      </c>
      <c r="B78">
        <f>VLOOKUP(A78,[1]Sheet7!$F$4:$I$209,4,FALSE)</f>
        <v>204960</v>
      </c>
      <c r="C78">
        <f t="shared" si="3"/>
        <v>77287125</v>
      </c>
      <c r="D78" s="3">
        <f t="shared" si="4"/>
        <v>94.199575482822766</v>
      </c>
      <c r="E78" t="str">
        <f t="shared" si="5"/>
        <v>D</v>
      </c>
    </row>
    <row r="79" spans="1:5" x14ac:dyDescent="0.25">
      <c r="A79">
        <v>1158</v>
      </c>
      <c r="B79">
        <f>VLOOKUP(A79,[1]Sheet7!$F$4:$I$209,4,FALSE)</f>
        <v>197100</v>
      </c>
      <c r="C79">
        <f t="shared" si="3"/>
        <v>77484225</v>
      </c>
      <c r="D79" s="3">
        <f t="shared" si="4"/>
        <v>94.43980613349926</v>
      </c>
      <c r="E79" t="str">
        <f t="shared" si="5"/>
        <v>D</v>
      </c>
    </row>
    <row r="80" spans="1:5" x14ac:dyDescent="0.25">
      <c r="A80">
        <v>1039</v>
      </c>
      <c r="B80">
        <f>VLOOKUP(A80,[1]Sheet7!$F$4:$I$209,4,FALSE)</f>
        <v>194469</v>
      </c>
      <c r="C80">
        <f t="shared" si="3"/>
        <v>77678694</v>
      </c>
      <c r="D80" s="3">
        <f t="shared" si="4"/>
        <v>94.676830052354674</v>
      </c>
      <c r="E80" t="str">
        <f t="shared" si="5"/>
        <v>D</v>
      </c>
    </row>
    <row r="81" spans="1:5" x14ac:dyDescent="0.25">
      <c r="A81">
        <v>1050</v>
      </c>
      <c r="B81">
        <f>VLOOKUP(A81,[1]Sheet7!$F$4:$I$209,4,FALSE)</f>
        <v>184092</v>
      </c>
      <c r="C81">
        <f t="shared" si="3"/>
        <v>77862786</v>
      </c>
      <c r="D81" s="3">
        <f t="shared" si="4"/>
        <v>94.901206211382245</v>
      </c>
      <c r="E81" t="str">
        <f t="shared" si="5"/>
        <v>D</v>
      </c>
    </row>
    <row r="82" spans="1:5" x14ac:dyDescent="0.25">
      <c r="A82">
        <v>1153</v>
      </c>
      <c r="B82">
        <f>VLOOKUP(A82,[1]Sheet7!$F$4:$I$209,4,FALSE)</f>
        <v>176344</v>
      </c>
      <c r="C82">
        <f t="shared" si="3"/>
        <v>78039130</v>
      </c>
      <c r="D82" s="3">
        <f t="shared" si="4"/>
        <v>95.116138904750557</v>
      </c>
      <c r="E82" t="str">
        <f t="shared" si="5"/>
        <v>D</v>
      </c>
    </row>
    <row r="83" spans="1:5" x14ac:dyDescent="0.25">
      <c r="A83">
        <v>1062</v>
      </c>
      <c r="B83">
        <f>VLOOKUP(A83,[1]Sheet7!$F$4:$I$209,4,FALSE)</f>
        <v>159132</v>
      </c>
      <c r="C83">
        <f t="shared" si="3"/>
        <v>78198262</v>
      </c>
      <c r="D83" s="3">
        <f t="shared" si="4"/>
        <v>95.310093160983172</v>
      </c>
      <c r="E83" t="str">
        <f t="shared" si="5"/>
        <v>D</v>
      </c>
    </row>
    <row r="84" spans="1:5" x14ac:dyDescent="0.25">
      <c r="A84">
        <v>1012</v>
      </c>
      <c r="B84">
        <f>VLOOKUP(A84,[1]Sheet7!$F$4:$I$209,4,FALSE)</f>
        <v>146853</v>
      </c>
      <c r="C84">
        <f t="shared" si="3"/>
        <v>78345115</v>
      </c>
      <c r="D84" s="3">
        <f t="shared" si="4"/>
        <v>95.489081449891316</v>
      </c>
      <c r="E84" t="str">
        <f t="shared" si="5"/>
        <v>D</v>
      </c>
    </row>
    <row r="85" spans="1:5" x14ac:dyDescent="0.25">
      <c r="A85">
        <v>1068</v>
      </c>
      <c r="B85">
        <f>VLOOKUP(A85,[1]Sheet7!$F$4:$I$209,4,FALSE)</f>
        <v>136890</v>
      </c>
      <c r="C85">
        <f t="shared" si="3"/>
        <v>78482005</v>
      </c>
      <c r="D85" s="3">
        <f t="shared" si="4"/>
        <v>95.655926573032374</v>
      </c>
      <c r="E85" t="str">
        <f t="shared" si="5"/>
        <v>D</v>
      </c>
    </row>
    <row r="86" spans="1:5" x14ac:dyDescent="0.25">
      <c r="A86">
        <v>1065</v>
      </c>
      <c r="B86">
        <f>VLOOKUP(A86,[1]Sheet7!$F$4:$I$209,4,FALSE)</f>
        <v>132559</v>
      </c>
      <c r="C86">
        <f t="shared" si="3"/>
        <v>78614564</v>
      </c>
      <c r="D86" s="3">
        <f t="shared" si="4"/>
        <v>95.817492959754972</v>
      </c>
      <c r="E86" t="str">
        <f t="shared" si="5"/>
        <v>D</v>
      </c>
    </row>
    <row r="87" spans="1:5" x14ac:dyDescent="0.25">
      <c r="A87">
        <v>1069</v>
      </c>
      <c r="B87">
        <f>VLOOKUP(A87,[1]Sheet7!$F$4:$I$209,4,FALSE)</f>
        <v>127588</v>
      </c>
      <c r="C87">
        <f t="shared" si="3"/>
        <v>78742152</v>
      </c>
      <c r="D87" s="3">
        <f t="shared" si="4"/>
        <v>95.973000561269487</v>
      </c>
      <c r="E87" t="str">
        <f t="shared" si="5"/>
        <v>D</v>
      </c>
    </row>
    <row r="88" spans="1:5" x14ac:dyDescent="0.25">
      <c r="A88">
        <v>1045</v>
      </c>
      <c r="B88">
        <f>VLOOKUP(A88,[1]Sheet7!$F$4:$I$209,4,FALSE)</f>
        <v>122265</v>
      </c>
      <c r="C88">
        <f t="shared" si="3"/>
        <v>78864417</v>
      </c>
      <c r="D88" s="3">
        <f t="shared" si="4"/>
        <v>96.122020350741622</v>
      </c>
      <c r="E88" t="str">
        <f t="shared" si="5"/>
        <v>D</v>
      </c>
    </row>
    <row r="89" spans="1:5" x14ac:dyDescent="0.25">
      <c r="A89">
        <v>1046</v>
      </c>
      <c r="B89">
        <f>VLOOKUP(A89,[1]Sheet7!$F$4:$I$209,4,FALSE)</f>
        <v>107712</v>
      </c>
      <c r="C89">
        <f t="shared" si="3"/>
        <v>78972129</v>
      </c>
      <c r="D89" s="3">
        <f t="shared" si="4"/>
        <v>96.253302562033682</v>
      </c>
      <c r="E89" t="str">
        <f t="shared" si="5"/>
        <v>D</v>
      </c>
    </row>
    <row r="90" spans="1:5" x14ac:dyDescent="0.25">
      <c r="A90">
        <v>1061</v>
      </c>
      <c r="B90">
        <f>VLOOKUP(A90,[1]Sheet7!$F$4:$I$209,4,FALSE)</f>
        <v>106330</v>
      </c>
      <c r="C90">
        <f t="shared" si="3"/>
        <v>79078459</v>
      </c>
      <c r="D90" s="3">
        <f t="shared" si="4"/>
        <v>96.382900355470667</v>
      </c>
      <c r="E90" t="str">
        <f t="shared" si="5"/>
        <v>D</v>
      </c>
    </row>
    <row r="91" spans="1:5" x14ac:dyDescent="0.25">
      <c r="A91">
        <v>1041</v>
      </c>
      <c r="B91">
        <f>VLOOKUP(A91,[1]Sheet7!$F$4:$I$209,4,FALSE)</f>
        <v>102098</v>
      </c>
      <c r="C91">
        <f t="shared" si="3"/>
        <v>79180557</v>
      </c>
      <c r="D91" s="3">
        <f t="shared" si="4"/>
        <v>96.507340076286326</v>
      </c>
      <c r="E91" t="str">
        <f t="shared" si="5"/>
        <v>D</v>
      </c>
    </row>
    <row r="92" spans="1:5" x14ac:dyDescent="0.25">
      <c r="A92">
        <v>1067</v>
      </c>
      <c r="B92">
        <f>VLOOKUP(A92,[1]Sheet7!$F$4:$I$209,4,FALSE)</f>
        <v>100646</v>
      </c>
      <c r="C92">
        <f t="shared" si="3"/>
        <v>79281203</v>
      </c>
      <c r="D92" s="3">
        <f t="shared" si="4"/>
        <v>96.630010061410559</v>
      </c>
      <c r="E92" t="str">
        <f t="shared" si="5"/>
        <v>D</v>
      </c>
    </row>
    <row r="93" spans="1:5" x14ac:dyDescent="0.25">
      <c r="A93">
        <v>1064</v>
      </c>
      <c r="B93">
        <f>VLOOKUP(A93,[1]Sheet7!$F$4:$I$209,4,FALSE)</f>
        <v>98658</v>
      </c>
      <c r="C93">
        <f t="shared" si="3"/>
        <v>79379861</v>
      </c>
      <c r="D93" s="3">
        <f t="shared" si="4"/>
        <v>96.750257019982044</v>
      </c>
      <c r="E93" t="str">
        <f t="shared" si="5"/>
        <v>D</v>
      </c>
    </row>
    <row r="94" spans="1:5" x14ac:dyDescent="0.25">
      <c r="A94">
        <v>1133</v>
      </c>
      <c r="B94">
        <f>VLOOKUP(A94,[1]Sheet7!$F$4:$I$209,4,FALSE)</f>
        <v>94866</v>
      </c>
      <c r="C94">
        <f t="shared" si="3"/>
        <v>79474727</v>
      </c>
      <c r="D94" s="3">
        <f t="shared" si="4"/>
        <v>96.865882189475073</v>
      </c>
      <c r="E94" t="str">
        <f t="shared" si="5"/>
        <v>D</v>
      </c>
    </row>
    <row r="95" spans="1:5" x14ac:dyDescent="0.25">
      <c r="A95">
        <v>1029</v>
      </c>
      <c r="B95">
        <f>VLOOKUP(A95,[1]Sheet7!$F$4:$I$209,4,FALSE)</f>
        <v>88995</v>
      </c>
      <c r="C95">
        <f t="shared" si="3"/>
        <v>79563722</v>
      </c>
      <c r="D95" s="3">
        <f t="shared" si="4"/>
        <v>96.974351630149613</v>
      </c>
      <c r="E95" t="str">
        <f t="shared" si="5"/>
        <v>D</v>
      </c>
    </row>
    <row r="96" spans="1:5" x14ac:dyDescent="0.25">
      <c r="A96">
        <v>1033</v>
      </c>
      <c r="B96">
        <f>VLOOKUP(A96,[1]Sheet7!$F$4:$I$209,4,FALSE)</f>
        <v>84420</v>
      </c>
      <c r="C96">
        <f t="shared" si="3"/>
        <v>79648142</v>
      </c>
      <c r="D96" s="3">
        <f t="shared" si="4"/>
        <v>97.077244940804647</v>
      </c>
      <c r="E96" t="str">
        <f t="shared" si="5"/>
        <v>D</v>
      </c>
    </row>
    <row r="97" spans="1:5" x14ac:dyDescent="0.25">
      <c r="A97">
        <v>1130</v>
      </c>
      <c r="B97">
        <f>VLOOKUP(A97,[1]Sheet7!$F$4:$I$209,4,FALSE)</f>
        <v>82476</v>
      </c>
      <c r="C97">
        <f t="shared" si="3"/>
        <v>79730618</v>
      </c>
      <c r="D97" s="3">
        <f t="shared" si="4"/>
        <v>97.177768853261242</v>
      </c>
      <c r="E97" t="str">
        <f t="shared" si="5"/>
        <v>D</v>
      </c>
    </row>
    <row r="98" spans="1:5" x14ac:dyDescent="0.25">
      <c r="A98">
        <v>1129</v>
      </c>
      <c r="B98">
        <f>VLOOKUP(A98,[1]Sheet7!$F$4:$I$209,4,FALSE)</f>
        <v>80845</v>
      </c>
      <c r="C98">
        <f t="shared" si="3"/>
        <v>79811463</v>
      </c>
      <c r="D98" s="3">
        <f t="shared" si="4"/>
        <v>97.276304860130551</v>
      </c>
      <c r="E98" t="str">
        <f t="shared" si="5"/>
        <v>D</v>
      </c>
    </row>
    <row r="99" spans="1:5" x14ac:dyDescent="0.25">
      <c r="A99">
        <v>1128</v>
      </c>
      <c r="B99">
        <f>VLOOKUP(A99,[1]Sheet7!$F$4:$I$209,4,FALSE)</f>
        <v>78392</v>
      </c>
      <c r="C99">
        <f t="shared" si="3"/>
        <v>79889855</v>
      </c>
      <c r="D99" s="3">
        <f t="shared" si="4"/>
        <v>97.371851086248412</v>
      </c>
      <c r="E99" t="str">
        <f t="shared" si="5"/>
        <v>D</v>
      </c>
    </row>
    <row r="100" spans="1:5" x14ac:dyDescent="0.25">
      <c r="A100">
        <v>1063</v>
      </c>
      <c r="B100">
        <f>VLOOKUP(A100,[1]Sheet7!$F$4:$I$209,4,FALSE)</f>
        <v>78300</v>
      </c>
      <c r="C100">
        <f t="shared" si="3"/>
        <v>79968155</v>
      </c>
      <c r="D100" s="3">
        <f t="shared" si="4"/>
        <v>97.467285180352775</v>
      </c>
      <c r="E100" t="str">
        <f t="shared" si="5"/>
        <v>D</v>
      </c>
    </row>
    <row r="101" spans="1:5" x14ac:dyDescent="0.25">
      <c r="A101">
        <v>1135</v>
      </c>
      <c r="B101">
        <f>VLOOKUP(A101,[1]Sheet7!$F$4:$I$209,4,FALSE)</f>
        <v>74772</v>
      </c>
      <c r="C101">
        <f t="shared" si="3"/>
        <v>80042927</v>
      </c>
      <c r="D101" s="3">
        <f t="shared" si="4"/>
        <v>97.558419255504376</v>
      </c>
      <c r="E101" t="str">
        <f t="shared" si="5"/>
        <v>D</v>
      </c>
    </row>
    <row r="102" spans="1:5" x14ac:dyDescent="0.25">
      <c r="A102">
        <v>1032</v>
      </c>
      <c r="B102">
        <f>VLOOKUP(A102,[1]Sheet7!$F$4:$I$209,4,FALSE)</f>
        <v>74538</v>
      </c>
      <c r="C102">
        <f t="shared" si="3"/>
        <v>80117465</v>
      </c>
      <c r="D102" s="3">
        <f t="shared" si="4"/>
        <v>97.649268125317278</v>
      </c>
      <c r="E102" t="str">
        <f t="shared" si="5"/>
        <v>D</v>
      </c>
    </row>
    <row r="103" spans="1:5" x14ac:dyDescent="0.25">
      <c r="A103">
        <v>1025</v>
      </c>
      <c r="B103">
        <f>VLOOKUP(A103,[1]Sheet7!$F$4:$I$209,4,FALSE)</f>
        <v>68985</v>
      </c>
      <c r="C103">
        <f t="shared" si="3"/>
        <v>80186450</v>
      </c>
      <c r="D103" s="3">
        <f t="shared" si="4"/>
        <v>97.733348853054054</v>
      </c>
      <c r="E103" t="str">
        <f t="shared" si="5"/>
        <v>D</v>
      </c>
    </row>
    <row r="104" spans="1:5" x14ac:dyDescent="0.25">
      <c r="A104">
        <v>1117</v>
      </c>
      <c r="B104">
        <f>VLOOKUP(A104,[1]Sheet7!$F$4:$I$209,4,FALSE)</f>
        <v>65000</v>
      </c>
      <c r="C104">
        <f t="shared" si="3"/>
        <v>80251450</v>
      </c>
      <c r="D104" s="3">
        <f t="shared" si="4"/>
        <v>97.812572558249229</v>
      </c>
      <c r="E104" t="str">
        <f t="shared" si="5"/>
        <v>D</v>
      </c>
    </row>
    <row r="105" spans="1:5" x14ac:dyDescent="0.25">
      <c r="A105">
        <v>1106</v>
      </c>
      <c r="B105">
        <f>VLOOKUP(A105,[1]Sheet7!$F$4:$I$209,4,FALSE)</f>
        <v>63135</v>
      </c>
      <c r="C105">
        <f t="shared" si="3"/>
        <v>80314585</v>
      </c>
      <c r="D105" s="3">
        <f t="shared" si="4"/>
        <v>97.889523152518436</v>
      </c>
      <c r="E105" t="str">
        <f t="shared" si="5"/>
        <v>D</v>
      </c>
    </row>
    <row r="106" spans="1:5" x14ac:dyDescent="0.25">
      <c r="A106">
        <v>1056</v>
      </c>
      <c r="B106">
        <f>VLOOKUP(A106,[1]Sheet7!$F$4:$I$209,4,FALSE)</f>
        <v>61548</v>
      </c>
      <c r="C106">
        <f t="shared" si="3"/>
        <v>80376133</v>
      </c>
      <c r="D106" s="3">
        <f t="shared" si="4"/>
        <v>97.964539469554637</v>
      </c>
      <c r="E106" t="str">
        <f t="shared" si="5"/>
        <v>D</v>
      </c>
    </row>
    <row r="107" spans="1:5" x14ac:dyDescent="0.25">
      <c r="A107">
        <v>1048</v>
      </c>
      <c r="B107">
        <f>VLOOKUP(A107,[1]Sheet7!$F$4:$I$209,4,FALSE)</f>
        <v>61536</v>
      </c>
      <c r="C107">
        <f t="shared" si="3"/>
        <v>80437669</v>
      </c>
      <c r="D107" s="3">
        <f t="shared" si="4"/>
        <v>98.039541160676038</v>
      </c>
      <c r="E107" t="str">
        <f t="shared" si="5"/>
        <v>D</v>
      </c>
    </row>
    <row r="108" spans="1:5" x14ac:dyDescent="0.25">
      <c r="A108">
        <v>1127</v>
      </c>
      <c r="B108">
        <f>VLOOKUP(A108,[1]Sheet7!$F$4:$I$209,4,FALSE)</f>
        <v>61380</v>
      </c>
      <c r="C108">
        <f t="shared" si="3"/>
        <v>80499049</v>
      </c>
      <c r="D108" s="3">
        <f t="shared" si="4"/>
        <v>98.114352714904967</v>
      </c>
      <c r="E108" t="str">
        <f t="shared" si="5"/>
        <v>D</v>
      </c>
    </row>
    <row r="109" spans="1:5" x14ac:dyDescent="0.25">
      <c r="A109">
        <v>1126</v>
      </c>
      <c r="B109">
        <f>VLOOKUP(A109,[1]Sheet7!$F$4:$I$209,4,FALSE)</f>
        <v>59568</v>
      </c>
      <c r="C109">
        <f t="shared" si="3"/>
        <v>80558617</v>
      </c>
      <c r="D109" s="3">
        <f t="shared" si="4"/>
        <v>98.186955755998312</v>
      </c>
      <c r="E109" t="str">
        <f t="shared" si="5"/>
        <v>D</v>
      </c>
    </row>
    <row r="110" spans="1:5" x14ac:dyDescent="0.25">
      <c r="A110">
        <v>1143</v>
      </c>
      <c r="B110">
        <f>VLOOKUP(A110,[1]Sheet7!$F$4:$I$209,4,FALSE)</f>
        <v>57350</v>
      </c>
      <c r="C110">
        <f t="shared" si="3"/>
        <v>80615967</v>
      </c>
      <c r="D110" s="3">
        <f t="shared" si="4"/>
        <v>98.256855440505134</v>
      </c>
      <c r="E110" t="str">
        <f t="shared" si="5"/>
        <v>D</v>
      </c>
    </row>
    <row r="111" spans="1:5" x14ac:dyDescent="0.25">
      <c r="A111">
        <v>1134</v>
      </c>
      <c r="B111">
        <f>VLOOKUP(A111,[1]Sheet7!$F$4:$I$209,4,FALSE)</f>
        <v>55440</v>
      </c>
      <c r="C111">
        <f t="shared" si="3"/>
        <v>80671407</v>
      </c>
      <c r="D111" s="3">
        <f t="shared" si="4"/>
        <v>98.324427166905465</v>
      </c>
      <c r="E111" t="str">
        <f t="shared" si="5"/>
        <v>D</v>
      </c>
    </row>
    <row r="112" spans="1:5" x14ac:dyDescent="0.25">
      <c r="A112">
        <v>1088</v>
      </c>
      <c r="B112">
        <f>VLOOKUP(A112,[1]Sheet7!$F$4:$I$209,4,FALSE)</f>
        <v>55200</v>
      </c>
      <c r="C112">
        <f t="shared" si="3"/>
        <v>80726607</v>
      </c>
      <c r="D112" s="3">
        <f t="shared" si="4"/>
        <v>98.391706375009676</v>
      </c>
      <c r="E112" t="str">
        <f t="shared" si="5"/>
        <v>D</v>
      </c>
    </row>
    <row r="113" spans="1:5" x14ac:dyDescent="0.25">
      <c r="A113">
        <v>1049</v>
      </c>
      <c r="B113">
        <f>VLOOKUP(A113,[1]Sheet7!$F$4:$I$209,4,FALSE)</f>
        <v>54188</v>
      </c>
      <c r="C113">
        <f t="shared" si="3"/>
        <v>80780795</v>
      </c>
      <c r="D113" s="3">
        <f t="shared" si="4"/>
        <v>98.457752130965318</v>
      </c>
      <c r="E113" t="str">
        <f t="shared" si="5"/>
        <v>D</v>
      </c>
    </row>
    <row r="114" spans="1:5" x14ac:dyDescent="0.25">
      <c r="A114">
        <v>1066</v>
      </c>
      <c r="B114">
        <f>VLOOKUP(A114,[1]Sheet7!$F$4:$I$209,4,FALSE)</f>
        <v>53000</v>
      </c>
      <c r="C114">
        <f t="shared" si="3"/>
        <v>80833795</v>
      </c>
      <c r="D114" s="3">
        <f t="shared" si="4"/>
        <v>98.522349921355229</v>
      </c>
      <c r="E114" t="str">
        <f t="shared" si="5"/>
        <v>D</v>
      </c>
    </row>
    <row r="115" spans="1:5" x14ac:dyDescent="0.25">
      <c r="A115">
        <v>1052</v>
      </c>
      <c r="B115">
        <f>VLOOKUP(A115,[1]Sheet7!$F$4:$I$209,4,FALSE)</f>
        <v>52488</v>
      </c>
      <c r="C115">
        <f t="shared" si="3"/>
        <v>80886283</v>
      </c>
      <c r="D115" s="3">
        <f t="shared" si="4"/>
        <v>98.586323672713476</v>
      </c>
      <c r="E115" t="str">
        <f t="shared" si="5"/>
        <v>D</v>
      </c>
    </row>
    <row r="116" spans="1:5" x14ac:dyDescent="0.25">
      <c r="A116">
        <v>1087</v>
      </c>
      <c r="B116">
        <f>VLOOKUP(A116,[1]Sheet7!$F$4:$I$209,4,FALSE)</f>
        <v>52136</v>
      </c>
      <c r="C116">
        <f t="shared" si="3"/>
        <v>80938419</v>
      </c>
      <c r="D116" s="3">
        <f t="shared" si="4"/>
        <v>98.649868397237412</v>
      </c>
      <c r="E116" t="str">
        <f t="shared" si="5"/>
        <v>D</v>
      </c>
    </row>
    <row r="117" spans="1:5" x14ac:dyDescent="0.25">
      <c r="A117">
        <v>1018</v>
      </c>
      <c r="B117">
        <f>VLOOKUP(A117,[1]Sheet7!$F$4:$I$209,4,FALSE)</f>
        <v>47304</v>
      </c>
      <c r="C117">
        <f t="shared" si="3"/>
        <v>80985723</v>
      </c>
      <c r="D117" s="3">
        <f t="shared" si="4"/>
        <v>98.707523753399755</v>
      </c>
      <c r="E117" t="str">
        <f t="shared" si="5"/>
        <v>D</v>
      </c>
    </row>
    <row r="118" spans="1:5" x14ac:dyDescent="0.25">
      <c r="A118">
        <v>1125</v>
      </c>
      <c r="B118">
        <f>VLOOKUP(A118,[1]Sheet7!$F$4:$I$209,4,FALSE)</f>
        <v>41310</v>
      </c>
      <c r="C118">
        <f t="shared" si="3"/>
        <v>81027033</v>
      </c>
      <c r="D118" s="3">
        <f t="shared" si="4"/>
        <v>98.757873465116887</v>
      </c>
      <c r="E118" t="str">
        <f t="shared" si="5"/>
        <v>D</v>
      </c>
    </row>
    <row r="119" spans="1:5" x14ac:dyDescent="0.25">
      <c r="A119">
        <v>1059</v>
      </c>
      <c r="B119">
        <f>VLOOKUP(A119,[1]Sheet7!$F$4:$I$209,4,FALSE)</f>
        <v>39294</v>
      </c>
      <c r="C119">
        <f t="shared" si="3"/>
        <v>81066327</v>
      </c>
      <c r="D119" s="3">
        <f t="shared" si="4"/>
        <v>98.805766023146731</v>
      </c>
      <c r="E119" t="str">
        <f t="shared" si="5"/>
        <v>D</v>
      </c>
    </row>
    <row r="120" spans="1:5" x14ac:dyDescent="0.25">
      <c r="A120">
        <v>1132</v>
      </c>
      <c r="B120">
        <f>VLOOKUP(A120,[1]Sheet7!$F$4:$I$209,4,FALSE)</f>
        <v>38226</v>
      </c>
      <c r="C120">
        <f t="shared" si="3"/>
        <v>81104553</v>
      </c>
      <c r="D120" s="3">
        <f t="shared" si="4"/>
        <v>98.852356874758897</v>
      </c>
      <c r="E120" t="str">
        <f t="shared" si="5"/>
        <v>D</v>
      </c>
    </row>
    <row r="121" spans="1:5" x14ac:dyDescent="0.25">
      <c r="A121">
        <v>1057</v>
      </c>
      <c r="B121">
        <f>VLOOKUP(A121,[1]Sheet7!$F$4:$I$209,4,FALSE)</f>
        <v>35805</v>
      </c>
      <c r="C121">
        <f t="shared" si="3"/>
        <v>81140358</v>
      </c>
      <c r="D121" s="3">
        <f t="shared" si="4"/>
        <v>98.895996948059107</v>
      </c>
      <c r="E121" t="str">
        <f t="shared" si="5"/>
        <v>D</v>
      </c>
    </row>
    <row r="122" spans="1:5" x14ac:dyDescent="0.25">
      <c r="A122">
        <v>1111</v>
      </c>
      <c r="B122">
        <f>VLOOKUP(A122,[1]Sheet7!$F$4:$I$209,4,FALSE)</f>
        <v>32400</v>
      </c>
      <c r="C122">
        <f t="shared" si="3"/>
        <v>81172758</v>
      </c>
      <c r="D122" s="3">
        <f t="shared" si="4"/>
        <v>98.93548691803332</v>
      </c>
      <c r="E122" t="str">
        <f t="shared" si="5"/>
        <v>D</v>
      </c>
    </row>
    <row r="123" spans="1:5" x14ac:dyDescent="0.25">
      <c r="A123">
        <v>1104</v>
      </c>
      <c r="B123">
        <f>VLOOKUP(A123,[1]Sheet7!$F$4:$I$209,4,FALSE)</f>
        <v>32130</v>
      </c>
      <c r="C123">
        <f t="shared" si="3"/>
        <v>81204888</v>
      </c>
      <c r="D123" s="3">
        <f t="shared" si="4"/>
        <v>98.974647804924416</v>
      </c>
      <c r="E123" t="str">
        <f t="shared" si="5"/>
        <v>D</v>
      </c>
    </row>
    <row r="124" spans="1:5" x14ac:dyDescent="0.25">
      <c r="A124">
        <v>1139</v>
      </c>
      <c r="B124">
        <f>VLOOKUP(A124,[1]Sheet7!$F$4:$I$209,4,FALSE)</f>
        <v>31878</v>
      </c>
      <c r="C124">
        <f t="shared" si="3"/>
        <v>81236766</v>
      </c>
      <c r="D124" s="3">
        <f t="shared" si="4"/>
        <v>99.013501547604605</v>
      </c>
      <c r="E124" t="str">
        <f t="shared" si="5"/>
        <v>D</v>
      </c>
    </row>
    <row r="125" spans="1:5" x14ac:dyDescent="0.25">
      <c r="A125">
        <v>1034</v>
      </c>
      <c r="B125">
        <f>VLOOKUP(A125,[1]Sheet7!$F$4:$I$209,4,FALSE)</f>
        <v>31093</v>
      </c>
      <c r="C125">
        <f t="shared" si="3"/>
        <v>81267859</v>
      </c>
      <c r="D125" s="3">
        <f t="shared" si="4"/>
        <v>99.051398511691289</v>
      </c>
      <c r="E125" t="str">
        <f t="shared" si="5"/>
        <v>D</v>
      </c>
    </row>
    <row r="126" spans="1:5" x14ac:dyDescent="0.25">
      <c r="A126">
        <v>1047</v>
      </c>
      <c r="B126">
        <f>VLOOKUP(A126,[1]Sheet7!$F$4:$I$209,4,FALSE)</f>
        <v>30900</v>
      </c>
      <c r="C126">
        <f t="shared" si="3"/>
        <v>81298759</v>
      </c>
      <c r="D126" s="3">
        <f t="shared" si="4"/>
        <v>99.089060242314844</v>
      </c>
      <c r="E126" t="str">
        <f t="shared" si="5"/>
        <v>D</v>
      </c>
    </row>
    <row r="127" spans="1:5" x14ac:dyDescent="0.25">
      <c r="A127">
        <v>1058</v>
      </c>
      <c r="B127">
        <f>VLOOKUP(A127,[1]Sheet7!$F$4:$I$209,4,FALSE)</f>
        <v>30525</v>
      </c>
      <c r="C127">
        <f t="shared" si="3"/>
        <v>81329284</v>
      </c>
      <c r="D127" s="3">
        <f t="shared" si="4"/>
        <v>99.126264913100741</v>
      </c>
      <c r="E127" t="str">
        <f t="shared" si="5"/>
        <v>D</v>
      </c>
    </row>
    <row r="128" spans="1:5" x14ac:dyDescent="0.25">
      <c r="A128">
        <v>1011</v>
      </c>
      <c r="B128">
        <f>VLOOKUP(A128,[1]Sheet7!$F$4:$I$209,4,FALSE)</f>
        <v>29757</v>
      </c>
      <c r="C128">
        <f t="shared" si="3"/>
        <v>81359041</v>
      </c>
      <c r="D128" s="3">
        <f t="shared" si="4"/>
        <v>99.162533525339086</v>
      </c>
      <c r="E128" t="str">
        <f t="shared" si="5"/>
        <v>D</v>
      </c>
    </row>
    <row r="129" spans="1:5" x14ac:dyDescent="0.25">
      <c r="A129">
        <v>1140</v>
      </c>
      <c r="B129">
        <f>VLOOKUP(A129,[1]Sheet7!$F$4:$I$209,4,FALSE)</f>
        <v>29440</v>
      </c>
      <c r="C129">
        <f t="shared" si="3"/>
        <v>81388481</v>
      </c>
      <c r="D129" s="3">
        <f t="shared" si="4"/>
        <v>99.198415769661338</v>
      </c>
      <c r="E129" t="str">
        <f t="shared" si="5"/>
        <v>D</v>
      </c>
    </row>
    <row r="130" spans="1:5" x14ac:dyDescent="0.25">
      <c r="A130">
        <v>1094</v>
      </c>
      <c r="B130">
        <f>VLOOKUP(A130,[1]Sheet7!$F$4:$I$209,4,FALSE)</f>
        <v>29187</v>
      </c>
      <c r="C130">
        <f t="shared" si="3"/>
        <v>81417668</v>
      </c>
      <c r="D130" s="3">
        <f t="shared" si="4"/>
        <v>99.233989650946455</v>
      </c>
      <c r="E130" t="str">
        <f t="shared" si="5"/>
        <v>D</v>
      </c>
    </row>
    <row r="131" spans="1:5" x14ac:dyDescent="0.25">
      <c r="A131">
        <v>1093</v>
      </c>
      <c r="B131">
        <f>VLOOKUP(A131,[1]Sheet7!$F$4:$I$209,4,FALSE)</f>
        <v>26884</v>
      </c>
      <c r="C131">
        <f t="shared" ref="C131:C194" si="6">B131+C130</f>
        <v>81444552</v>
      </c>
      <c r="D131" s="3">
        <f t="shared" ref="D131:D194" si="7">C131/$C$206*100</f>
        <v>99.266756575415187</v>
      </c>
      <c r="E131" t="str">
        <f t="shared" ref="E131:E194" si="8">IF(D131 &lt;= 60, "A", IF(D131 &lt;= 80, "B", IF(D131 &lt;= 90, "C", "D")))</f>
        <v>D</v>
      </c>
    </row>
    <row r="132" spans="1:5" x14ac:dyDescent="0.25">
      <c r="A132">
        <v>1100</v>
      </c>
      <c r="B132">
        <f>VLOOKUP(A132,[1]Sheet7!$F$4:$I$209,4,FALSE)</f>
        <v>26260</v>
      </c>
      <c r="C132">
        <f t="shared" si="6"/>
        <v>81470812</v>
      </c>
      <c r="D132" s="3">
        <f t="shared" si="7"/>
        <v>99.298762952314036</v>
      </c>
      <c r="E132" t="str">
        <f t="shared" si="8"/>
        <v>D</v>
      </c>
    </row>
    <row r="133" spans="1:5" x14ac:dyDescent="0.25">
      <c r="A133">
        <v>1053</v>
      </c>
      <c r="B133">
        <f>VLOOKUP(A133,[1]Sheet7!$F$4:$I$209,4,FALSE)</f>
        <v>25650</v>
      </c>
      <c r="C133">
        <f t="shared" si="6"/>
        <v>81496462</v>
      </c>
      <c r="D133" s="3">
        <f t="shared" si="7"/>
        <v>99.330025845210287</v>
      </c>
      <c r="E133" t="str">
        <f t="shared" si="8"/>
        <v>D</v>
      </c>
    </row>
    <row r="134" spans="1:5" x14ac:dyDescent="0.25">
      <c r="A134">
        <v>1138</v>
      </c>
      <c r="B134">
        <f>VLOOKUP(A134,[1]Sheet7!$F$4:$I$209,4,FALSE)</f>
        <v>24705</v>
      </c>
      <c r="C134">
        <f t="shared" si="6"/>
        <v>81521167</v>
      </c>
      <c r="D134" s="3">
        <f t="shared" si="7"/>
        <v>99.360136947315624</v>
      </c>
      <c r="E134" t="str">
        <f t="shared" si="8"/>
        <v>D</v>
      </c>
    </row>
    <row r="135" spans="1:5" x14ac:dyDescent="0.25">
      <c r="A135">
        <v>1038</v>
      </c>
      <c r="B135">
        <f>VLOOKUP(A135,[1]Sheet7!$F$4:$I$209,4,FALSE)</f>
        <v>22302</v>
      </c>
      <c r="C135">
        <f t="shared" si="6"/>
        <v>81543469</v>
      </c>
      <c r="D135" s="3">
        <f t="shared" si="7"/>
        <v>99.3873192099812</v>
      </c>
      <c r="E135" t="str">
        <f t="shared" si="8"/>
        <v>D</v>
      </c>
    </row>
    <row r="136" spans="1:5" x14ac:dyDescent="0.25">
      <c r="A136">
        <v>1136</v>
      </c>
      <c r="B136">
        <f>VLOOKUP(A136,[1]Sheet7!$F$4:$I$209,4,FALSE)</f>
        <v>21600</v>
      </c>
      <c r="C136">
        <f t="shared" si="6"/>
        <v>81565069</v>
      </c>
      <c r="D136" s="3">
        <f t="shared" si="7"/>
        <v>99.41364585663068</v>
      </c>
      <c r="E136" t="str">
        <f t="shared" si="8"/>
        <v>D</v>
      </c>
    </row>
    <row r="137" spans="1:5" x14ac:dyDescent="0.25">
      <c r="A137">
        <v>1110</v>
      </c>
      <c r="B137">
        <f>VLOOKUP(A137,[1]Sheet7!$F$4:$I$209,4,FALSE)</f>
        <v>18225</v>
      </c>
      <c r="C137">
        <f t="shared" si="6"/>
        <v>81583294</v>
      </c>
      <c r="D137" s="3">
        <f t="shared" si="7"/>
        <v>99.435858964741186</v>
      </c>
      <c r="E137" t="str">
        <f t="shared" si="8"/>
        <v>D</v>
      </c>
    </row>
    <row r="138" spans="1:5" x14ac:dyDescent="0.25">
      <c r="A138">
        <v>1099</v>
      </c>
      <c r="B138">
        <f>VLOOKUP(A138,[1]Sheet7!$F$4:$I$209,4,FALSE)</f>
        <v>17876</v>
      </c>
      <c r="C138">
        <f t="shared" si="6"/>
        <v>81601170</v>
      </c>
      <c r="D138" s="3">
        <f t="shared" si="7"/>
        <v>99.457646702496092</v>
      </c>
      <c r="E138" t="str">
        <f t="shared" si="8"/>
        <v>D</v>
      </c>
    </row>
    <row r="139" spans="1:5" x14ac:dyDescent="0.25">
      <c r="A139">
        <v>1051</v>
      </c>
      <c r="B139">
        <f>VLOOKUP(A139,[1]Sheet7!$F$4:$I$209,4,FALSE)</f>
        <v>17685</v>
      </c>
      <c r="C139">
        <f t="shared" si="6"/>
        <v>81618855</v>
      </c>
      <c r="D139" s="3">
        <f t="shared" si="7"/>
        <v>99.479201644440352</v>
      </c>
      <c r="E139" t="str">
        <f t="shared" si="8"/>
        <v>D</v>
      </c>
    </row>
    <row r="140" spans="1:5" x14ac:dyDescent="0.25">
      <c r="A140">
        <v>1023</v>
      </c>
      <c r="B140">
        <f>VLOOKUP(A140,[1]Sheet7!$F$4:$I$209,4,FALSE)</f>
        <v>17250</v>
      </c>
      <c r="C140">
        <f t="shared" si="6"/>
        <v>81636105</v>
      </c>
      <c r="D140" s="3">
        <f t="shared" si="7"/>
        <v>99.50022639697292</v>
      </c>
      <c r="E140" t="str">
        <f t="shared" si="8"/>
        <v>D</v>
      </c>
    </row>
    <row r="141" spans="1:5" x14ac:dyDescent="0.25">
      <c r="A141">
        <v>1014</v>
      </c>
      <c r="B141">
        <f>VLOOKUP(A141,[1]Sheet7!$F$4:$I$209,4,FALSE)</f>
        <v>16125</v>
      </c>
      <c r="C141">
        <f t="shared" si="6"/>
        <v>81652230</v>
      </c>
      <c r="D141" s="3">
        <f t="shared" si="7"/>
        <v>99.519879969992502</v>
      </c>
      <c r="E141" t="str">
        <f t="shared" si="8"/>
        <v>D</v>
      </c>
    </row>
    <row r="142" spans="1:5" x14ac:dyDescent="0.25">
      <c r="A142">
        <v>1089</v>
      </c>
      <c r="B142">
        <f>VLOOKUP(A142,[1]Sheet7!$F$4:$I$209,4,FALSE)</f>
        <v>15960</v>
      </c>
      <c r="C142">
        <f t="shared" si="6"/>
        <v>81668190</v>
      </c>
      <c r="D142" s="3">
        <f t="shared" si="7"/>
        <v>99.539332436683509</v>
      </c>
      <c r="E142" t="str">
        <f t="shared" si="8"/>
        <v>D</v>
      </c>
    </row>
    <row r="143" spans="1:5" x14ac:dyDescent="0.25">
      <c r="A143">
        <v>1031</v>
      </c>
      <c r="B143">
        <f>VLOOKUP(A143,[1]Sheet7!$F$4:$I$209,4,FALSE)</f>
        <v>14756</v>
      </c>
      <c r="C143">
        <f t="shared" si="6"/>
        <v>81682946</v>
      </c>
      <c r="D143" s="3">
        <f t="shared" si="7"/>
        <v>99.557317436589045</v>
      </c>
      <c r="E143" t="str">
        <f t="shared" si="8"/>
        <v>D</v>
      </c>
    </row>
    <row r="144" spans="1:5" x14ac:dyDescent="0.25">
      <c r="A144">
        <v>1096</v>
      </c>
      <c r="B144">
        <f>VLOOKUP(A144,[1]Sheet7!$F$4:$I$209,4,FALSE)</f>
        <v>14476</v>
      </c>
      <c r="C144">
        <f t="shared" si="6"/>
        <v>81697422</v>
      </c>
      <c r="D144" s="3">
        <f t="shared" si="7"/>
        <v>99.574961165149119</v>
      </c>
      <c r="E144" t="str">
        <f t="shared" si="8"/>
        <v>D</v>
      </c>
    </row>
    <row r="145" spans="1:5" x14ac:dyDescent="0.25">
      <c r="A145">
        <v>1028</v>
      </c>
      <c r="B145">
        <f>VLOOKUP(A145,[1]Sheet7!$F$4:$I$209,4,FALSE)</f>
        <v>14276</v>
      </c>
      <c r="C145">
        <f t="shared" si="6"/>
        <v>81711698</v>
      </c>
      <c r="D145" s="3">
        <f t="shared" si="7"/>
        <v>99.592361128462457</v>
      </c>
      <c r="E145" t="str">
        <f t="shared" si="8"/>
        <v>D</v>
      </c>
    </row>
    <row r="146" spans="1:5" x14ac:dyDescent="0.25">
      <c r="A146">
        <v>1060</v>
      </c>
      <c r="B146">
        <f>VLOOKUP(A146,[1]Sheet7!$F$4:$I$209,4,FALSE)</f>
        <v>13975</v>
      </c>
      <c r="C146">
        <f t="shared" si="6"/>
        <v>81725673</v>
      </c>
      <c r="D146" s="3">
        <f t="shared" si="7"/>
        <v>99.609394225079413</v>
      </c>
      <c r="E146" t="str">
        <f t="shared" si="8"/>
        <v>D</v>
      </c>
    </row>
    <row r="147" spans="1:5" x14ac:dyDescent="0.25">
      <c r="A147">
        <v>1020</v>
      </c>
      <c r="B147">
        <f>VLOOKUP(A147,[1]Sheet7!$F$4:$I$209,4,FALSE)</f>
        <v>12964</v>
      </c>
      <c r="C147">
        <f t="shared" si="6"/>
        <v>81738637</v>
      </c>
      <c r="D147" s="3">
        <f t="shared" si="7"/>
        <v>99.625195088374042</v>
      </c>
      <c r="E147" t="str">
        <f t="shared" si="8"/>
        <v>D</v>
      </c>
    </row>
    <row r="148" spans="1:5" x14ac:dyDescent="0.25">
      <c r="A148">
        <v>1030</v>
      </c>
      <c r="B148">
        <f>VLOOKUP(A148,[1]Sheet7!$F$4:$I$209,4,FALSE)</f>
        <v>12597</v>
      </c>
      <c r="C148">
        <f t="shared" si="6"/>
        <v>81751234</v>
      </c>
      <c r="D148" s="3">
        <f t="shared" si="7"/>
        <v>99.640548642440876</v>
      </c>
      <c r="E148" t="str">
        <f t="shared" si="8"/>
        <v>D</v>
      </c>
    </row>
    <row r="149" spans="1:5" x14ac:dyDescent="0.25">
      <c r="A149">
        <v>1080</v>
      </c>
      <c r="B149">
        <f>VLOOKUP(A149,[1]Sheet7!$F$4:$I$209,4,FALSE)</f>
        <v>12274</v>
      </c>
      <c r="C149">
        <f t="shared" si="6"/>
        <v>81763508</v>
      </c>
      <c r="D149" s="3">
        <f t="shared" si="7"/>
        <v>99.655508515634182</v>
      </c>
      <c r="E149" t="str">
        <f t="shared" si="8"/>
        <v>D</v>
      </c>
    </row>
    <row r="150" spans="1:5" x14ac:dyDescent="0.25">
      <c r="A150">
        <v>1081</v>
      </c>
      <c r="B150">
        <f>VLOOKUP(A150,[1]Sheet7!$F$4:$I$209,4,FALSE)</f>
        <v>10794</v>
      </c>
      <c r="C150">
        <f t="shared" si="6"/>
        <v>81774302</v>
      </c>
      <c r="D150" s="3">
        <f t="shared" si="7"/>
        <v>99.668664526001521</v>
      </c>
      <c r="E150" t="str">
        <f t="shared" si="8"/>
        <v>D</v>
      </c>
    </row>
    <row r="151" spans="1:5" x14ac:dyDescent="0.25">
      <c r="A151">
        <v>1082</v>
      </c>
      <c r="B151">
        <f>VLOOKUP(A151,[1]Sheet7!$F$4:$I$209,4,FALSE)</f>
        <v>10530</v>
      </c>
      <c r="C151">
        <f t="shared" si="6"/>
        <v>81784832</v>
      </c>
      <c r="D151" s="3">
        <f t="shared" si="7"/>
        <v>99.681498766243152</v>
      </c>
      <c r="E151" t="str">
        <f t="shared" si="8"/>
        <v>D</v>
      </c>
    </row>
    <row r="152" spans="1:5" x14ac:dyDescent="0.25">
      <c r="A152">
        <v>1026</v>
      </c>
      <c r="B152">
        <f>VLOOKUP(A152,[1]Sheet7!$F$4:$I$209,4,FALSE)</f>
        <v>10244</v>
      </c>
      <c r="C152">
        <f t="shared" si="6"/>
        <v>81795076</v>
      </c>
      <c r="D152" s="3">
        <f t="shared" si="7"/>
        <v>99.693984422181899</v>
      </c>
      <c r="E152" t="str">
        <f t="shared" si="8"/>
        <v>D</v>
      </c>
    </row>
    <row r="153" spans="1:5" x14ac:dyDescent="0.25">
      <c r="A153">
        <v>1071</v>
      </c>
      <c r="B153">
        <f>VLOOKUP(A153,[1]Sheet7!$F$4:$I$209,4,FALSE)</f>
        <v>10024</v>
      </c>
      <c r="C153">
        <f t="shared" si="6"/>
        <v>81805100</v>
      </c>
      <c r="D153" s="3">
        <f t="shared" si="7"/>
        <v>99.706201936349231</v>
      </c>
      <c r="E153" t="str">
        <f t="shared" si="8"/>
        <v>D</v>
      </c>
    </row>
    <row r="154" spans="1:5" x14ac:dyDescent="0.25">
      <c r="A154">
        <v>1095</v>
      </c>
      <c r="B154">
        <f>VLOOKUP(A154,[1]Sheet7!$F$4:$I$209,4,FALSE)</f>
        <v>9198</v>
      </c>
      <c r="C154">
        <f t="shared" si="6"/>
        <v>81814298</v>
      </c>
      <c r="D154" s="3">
        <f t="shared" si="7"/>
        <v>99.717412700047475</v>
      </c>
      <c r="E154" t="str">
        <f t="shared" si="8"/>
        <v>D</v>
      </c>
    </row>
    <row r="155" spans="1:5" x14ac:dyDescent="0.25">
      <c r="A155">
        <v>1084</v>
      </c>
      <c r="B155">
        <f>VLOOKUP(A155,[1]Sheet7!$F$4:$I$209,4,FALSE)</f>
        <v>8569</v>
      </c>
      <c r="C155">
        <f t="shared" si="6"/>
        <v>81822867</v>
      </c>
      <c r="D155" s="3">
        <f t="shared" si="7"/>
        <v>99.727856822044672</v>
      </c>
      <c r="E155" t="str">
        <f t="shared" si="8"/>
        <v>D</v>
      </c>
    </row>
    <row r="156" spans="1:5" x14ac:dyDescent="0.25">
      <c r="A156">
        <v>1107</v>
      </c>
      <c r="B156">
        <f>VLOOKUP(A156,[1]Sheet7!$F$4:$I$209,4,FALSE)</f>
        <v>8388</v>
      </c>
      <c r="C156">
        <f t="shared" si="6"/>
        <v>81831255</v>
      </c>
      <c r="D156" s="3">
        <f t="shared" si="7"/>
        <v>99.738080336493553</v>
      </c>
      <c r="E156" t="str">
        <f t="shared" si="8"/>
        <v>D</v>
      </c>
    </row>
    <row r="157" spans="1:5" x14ac:dyDescent="0.25">
      <c r="A157">
        <v>1074</v>
      </c>
      <c r="B157">
        <f>VLOOKUP(A157,[1]Sheet7!$F$4:$I$209,4,FALSE)</f>
        <v>7659</v>
      </c>
      <c r="C157">
        <f t="shared" si="6"/>
        <v>81838914</v>
      </c>
      <c r="D157" s="3">
        <f t="shared" si="7"/>
        <v>99.747415326618011</v>
      </c>
      <c r="E157" t="str">
        <f t="shared" si="8"/>
        <v>D</v>
      </c>
    </row>
    <row r="158" spans="1:5" x14ac:dyDescent="0.25">
      <c r="A158">
        <v>1145</v>
      </c>
      <c r="B158">
        <f>VLOOKUP(A158,[1]Sheet7!$F$4:$I$209,4,FALSE)</f>
        <v>7648</v>
      </c>
      <c r="C158">
        <f t="shared" si="6"/>
        <v>81846562</v>
      </c>
      <c r="D158" s="3">
        <f t="shared" si="7"/>
        <v>99.756736909653895</v>
      </c>
      <c r="E158" t="str">
        <f t="shared" si="8"/>
        <v>D</v>
      </c>
    </row>
    <row r="159" spans="1:5" x14ac:dyDescent="0.25">
      <c r="A159">
        <v>1119</v>
      </c>
      <c r="B159">
        <f>VLOOKUP(A159,[1]Sheet7!$F$4:$I$209,4,FALSE)</f>
        <v>7590</v>
      </c>
      <c r="C159">
        <f t="shared" si="6"/>
        <v>81854152</v>
      </c>
      <c r="D159" s="3">
        <f t="shared" si="7"/>
        <v>99.765987800768229</v>
      </c>
      <c r="E159" t="str">
        <f t="shared" si="8"/>
        <v>D</v>
      </c>
    </row>
    <row r="160" spans="1:5" x14ac:dyDescent="0.25">
      <c r="A160">
        <v>1149</v>
      </c>
      <c r="B160">
        <f>VLOOKUP(A160,[1]Sheet7!$F$4:$I$209,4,FALSE)</f>
        <v>6790</v>
      </c>
      <c r="C160">
        <f t="shared" si="6"/>
        <v>81860942</v>
      </c>
      <c r="D160" s="3">
        <f t="shared" si="7"/>
        <v>99.774263630895547</v>
      </c>
      <c r="E160" t="str">
        <f t="shared" si="8"/>
        <v>D</v>
      </c>
    </row>
    <row r="161" spans="1:5" x14ac:dyDescent="0.25">
      <c r="A161">
        <v>1042</v>
      </c>
      <c r="B161">
        <f>VLOOKUP(A161,[1]Sheet7!$F$4:$I$209,4,FALSE)</f>
        <v>6572</v>
      </c>
      <c r="C161">
        <f t="shared" si="6"/>
        <v>81867514</v>
      </c>
      <c r="D161" s="3">
        <f t="shared" si="7"/>
        <v>99.782273756903891</v>
      </c>
      <c r="E161" t="str">
        <f t="shared" si="8"/>
        <v>D</v>
      </c>
    </row>
    <row r="162" spans="1:5" x14ac:dyDescent="0.25">
      <c r="A162">
        <v>1102</v>
      </c>
      <c r="B162">
        <f>VLOOKUP(A162,[1]Sheet7!$F$4:$I$209,4,FALSE)</f>
        <v>6556</v>
      </c>
      <c r="C162">
        <f t="shared" si="6"/>
        <v>81874070</v>
      </c>
      <c r="D162" s="3">
        <f t="shared" si="7"/>
        <v>99.790264381692495</v>
      </c>
      <c r="E162" t="str">
        <f t="shared" si="8"/>
        <v>D</v>
      </c>
    </row>
    <row r="163" spans="1:5" x14ac:dyDescent="0.25">
      <c r="A163">
        <v>1137</v>
      </c>
      <c r="B163">
        <f>VLOOKUP(A163,[1]Sheet7!$F$4:$I$209,4,FALSE)</f>
        <v>6556</v>
      </c>
      <c r="C163">
        <f t="shared" si="6"/>
        <v>81880626</v>
      </c>
      <c r="D163" s="3">
        <f t="shared" si="7"/>
        <v>99.798255006481114</v>
      </c>
      <c r="E163" t="str">
        <f t="shared" si="8"/>
        <v>D</v>
      </c>
    </row>
    <row r="164" spans="1:5" x14ac:dyDescent="0.25">
      <c r="A164">
        <v>1101</v>
      </c>
      <c r="B164">
        <f>VLOOKUP(A164,[1]Sheet7!$F$4:$I$209,4,FALSE)</f>
        <v>6536</v>
      </c>
      <c r="C164">
        <f t="shared" si="6"/>
        <v>81887162</v>
      </c>
      <c r="D164" s="3">
        <f t="shared" si="7"/>
        <v>99.80622125474504</v>
      </c>
      <c r="E164" t="str">
        <f t="shared" si="8"/>
        <v>D</v>
      </c>
    </row>
    <row r="165" spans="1:5" x14ac:dyDescent="0.25">
      <c r="A165">
        <v>1141</v>
      </c>
      <c r="B165">
        <f>VLOOKUP(A165,[1]Sheet7!$F$4:$I$209,4,FALSE)</f>
        <v>6440</v>
      </c>
      <c r="C165">
        <f t="shared" si="6"/>
        <v>81893602</v>
      </c>
      <c r="D165" s="3">
        <f t="shared" si="7"/>
        <v>99.81407049569053</v>
      </c>
      <c r="E165" t="str">
        <f t="shared" si="8"/>
        <v>D</v>
      </c>
    </row>
    <row r="166" spans="1:5" x14ac:dyDescent="0.25">
      <c r="A166">
        <v>1114</v>
      </c>
      <c r="B166">
        <f>VLOOKUP(A166,[1]Sheet7!$F$4:$I$209,4,FALSE)</f>
        <v>6439</v>
      </c>
      <c r="C166">
        <f t="shared" si="6"/>
        <v>81900041</v>
      </c>
      <c r="D166" s="3">
        <f t="shared" si="7"/>
        <v>99.821918517809792</v>
      </c>
      <c r="E166" t="str">
        <f t="shared" si="8"/>
        <v>D</v>
      </c>
    </row>
    <row r="167" spans="1:5" x14ac:dyDescent="0.25">
      <c r="A167">
        <v>1142</v>
      </c>
      <c r="B167">
        <f>VLOOKUP(A167,[1]Sheet7!$F$4:$I$209,4,FALSE)</f>
        <v>6300</v>
      </c>
      <c r="C167">
        <f t="shared" si="6"/>
        <v>81906341</v>
      </c>
      <c r="D167" s="3">
        <f t="shared" si="7"/>
        <v>99.829597123082564</v>
      </c>
      <c r="E167" t="str">
        <f t="shared" si="8"/>
        <v>D</v>
      </c>
    </row>
    <row r="168" spans="1:5" x14ac:dyDescent="0.25">
      <c r="A168">
        <v>1079</v>
      </c>
      <c r="B168">
        <f>VLOOKUP(A168,[1]Sheet7!$F$4:$I$209,4,FALSE)</f>
        <v>6210</v>
      </c>
      <c r="C168">
        <f t="shared" si="6"/>
        <v>81912551</v>
      </c>
      <c r="D168" s="3">
        <f t="shared" si="7"/>
        <v>99.837166033994279</v>
      </c>
      <c r="E168" t="str">
        <f t="shared" si="8"/>
        <v>D</v>
      </c>
    </row>
    <row r="169" spans="1:5" x14ac:dyDescent="0.25">
      <c r="A169">
        <v>1122</v>
      </c>
      <c r="B169">
        <f>VLOOKUP(A169,[1]Sheet7!$F$4:$I$209,4,FALSE)</f>
        <v>6105</v>
      </c>
      <c r="C169">
        <f t="shared" si="6"/>
        <v>81918656</v>
      </c>
      <c r="D169" s="3">
        <f t="shared" si="7"/>
        <v>99.844606968151467</v>
      </c>
      <c r="E169" t="str">
        <f t="shared" si="8"/>
        <v>D</v>
      </c>
    </row>
    <row r="170" spans="1:5" x14ac:dyDescent="0.25">
      <c r="A170">
        <v>1108</v>
      </c>
      <c r="B170">
        <f>VLOOKUP(A170,[1]Sheet7!$F$4:$I$209,4,FALSE)</f>
        <v>5805</v>
      </c>
      <c r="C170">
        <f t="shared" si="6"/>
        <v>81924461</v>
      </c>
      <c r="D170" s="3">
        <f t="shared" si="7"/>
        <v>99.851682254438515</v>
      </c>
      <c r="E170" t="str">
        <f t="shared" si="8"/>
        <v>D</v>
      </c>
    </row>
    <row r="171" spans="1:5" x14ac:dyDescent="0.25">
      <c r="A171">
        <v>1112</v>
      </c>
      <c r="B171">
        <f>VLOOKUP(A171,[1]Sheet7!$F$4:$I$209,4,FALSE)</f>
        <v>5656</v>
      </c>
      <c r="C171">
        <f t="shared" si="6"/>
        <v>81930117</v>
      </c>
      <c r="D171" s="3">
        <f t="shared" si="7"/>
        <v>99.858575935616727</v>
      </c>
      <c r="E171" t="str">
        <f t="shared" si="8"/>
        <v>D</v>
      </c>
    </row>
    <row r="172" spans="1:5" x14ac:dyDescent="0.25">
      <c r="A172">
        <v>1044</v>
      </c>
      <c r="B172">
        <f>VLOOKUP(A172,[1]Sheet7!$F$4:$I$209,4,FALSE)</f>
        <v>5524</v>
      </c>
      <c r="C172">
        <f t="shared" si="6"/>
        <v>81935641</v>
      </c>
      <c r="D172" s="3">
        <f t="shared" si="7"/>
        <v>99.865308731732085</v>
      </c>
      <c r="E172" t="str">
        <f t="shared" si="8"/>
        <v>D</v>
      </c>
    </row>
    <row r="173" spans="1:5" x14ac:dyDescent="0.25">
      <c r="A173">
        <v>1147</v>
      </c>
      <c r="B173">
        <f>VLOOKUP(A173,[1]Sheet7!$F$4:$I$209,4,FALSE)</f>
        <v>5425</v>
      </c>
      <c r="C173">
        <f t="shared" si="6"/>
        <v>81941066</v>
      </c>
      <c r="D173" s="3">
        <f t="shared" si="7"/>
        <v>99.871920864050296</v>
      </c>
      <c r="E173" t="str">
        <f t="shared" si="8"/>
        <v>D</v>
      </c>
    </row>
    <row r="174" spans="1:5" x14ac:dyDescent="0.25">
      <c r="A174">
        <v>1116</v>
      </c>
      <c r="B174">
        <f>VLOOKUP(A174,[1]Sheet7!$F$4:$I$209,4,FALSE)</f>
        <v>5320</v>
      </c>
      <c r="C174">
        <f t="shared" si="6"/>
        <v>81946386</v>
      </c>
      <c r="D174" s="3">
        <f t="shared" si="7"/>
        <v>99.878405019613965</v>
      </c>
      <c r="E174" t="str">
        <f t="shared" si="8"/>
        <v>D</v>
      </c>
    </row>
    <row r="175" spans="1:5" x14ac:dyDescent="0.25">
      <c r="A175">
        <v>1017</v>
      </c>
      <c r="B175">
        <f>VLOOKUP(A175,[1]Sheet7!$F$4:$I$209,4,FALSE)</f>
        <v>5166</v>
      </c>
      <c r="C175">
        <f t="shared" si="6"/>
        <v>81951552</v>
      </c>
      <c r="D175" s="3">
        <f t="shared" si="7"/>
        <v>99.884701475937632</v>
      </c>
      <c r="E175" t="str">
        <f t="shared" si="8"/>
        <v>D</v>
      </c>
    </row>
    <row r="176" spans="1:5" x14ac:dyDescent="0.25">
      <c r="A176">
        <v>1027</v>
      </c>
      <c r="B176">
        <f>VLOOKUP(A176,[1]Sheet7!$F$4:$I$209,4,FALSE)</f>
        <v>5166</v>
      </c>
      <c r="C176">
        <f t="shared" si="6"/>
        <v>81956718</v>
      </c>
      <c r="D176" s="3">
        <f t="shared" si="7"/>
        <v>99.8909979322613</v>
      </c>
      <c r="E176" t="str">
        <f t="shared" si="8"/>
        <v>D</v>
      </c>
    </row>
    <row r="177" spans="1:5" x14ac:dyDescent="0.25">
      <c r="A177">
        <v>1098</v>
      </c>
      <c r="B177">
        <f>VLOOKUP(A177,[1]Sheet7!$F$4:$I$209,4,FALSE)</f>
        <v>5133</v>
      </c>
      <c r="C177">
        <f t="shared" si="6"/>
        <v>81961851</v>
      </c>
      <c r="D177" s="3">
        <f t="shared" si="7"/>
        <v>99.897254167319247</v>
      </c>
      <c r="E177" t="str">
        <f t="shared" si="8"/>
        <v>D</v>
      </c>
    </row>
    <row r="178" spans="1:5" x14ac:dyDescent="0.25">
      <c r="A178">
        <v>1073</v>
      </c>
      <c r="B178">
        <f>VLOOKUP(A178,[1]Sheet7!$F$4:$I$209,4,FALSE)</f>
        <v>4888</v>
      </c>
      <c r="C178">
        <f t="shared" si="6"/>
        <v>81966739</v>
      </c>
      <c r="D178" s="3">
        <f t="shared" si="7"/>
        <v>99.903211789949921</v>
      </c>
      <c r="E178" t="str">
        <f t="shared" si="8"/>
        <v>D</v>
      </c>
    </row>
    <row r="179" spans="1:5" x14ac:dyDescent="0.25">
      <c r="A179">
        <v>1085</v>
      </c>
      <c r="B179">
        <f>VLOOKUP(A179,[1]Sheet7!$F$4:$I$209,4,FALSE)</f>
        <v>4725</v>
      </c>
      <c r="C179">
        <f t="shared" si="6"/>
        <v>81971464</v>
      </c>
      <c r="D179" s="3">
        <f t="shared" si="7"/>
        <v>99.908970743904504</v>
      </c>
      <c r="E179" t="str">
        <f t="shared" si="8"/>
        <v>D</v>
      </c>
    </row>
    <row r="180" spans="1:5" x14ac:dyDescent="0.25">
      <c r="A180">
        <v>1022</v>
      </c>
      <c r="B180">
        <f>VLOOKUP(A180,[1]Sheet7!$F$4:$I$209,4,FALSE)</f>
        <v>4648</v>
      </c>
      <c r="C180">
        <f t="shared" si="6"/>
        <v>81976112</v>
      </c>
      <c r="D180" s="3">
        <f t="shared" si="7"/>
        <v>99.914635848239072</v>
      </c>
      <c r="E180" t="str">
        <f t="shared" si="8"/>
        <v>D</v>
      </c>
    </row>
    <row r="181" spans="1:5" x14ac:dyDescent="0.25">
      <c r="A181">
        <v>1118</v>
      </c>
      <c r="B181">
        <f>VLOOKUP(A181,[1]Sheet7!$F$4:$I$209,4,FALSE)</f>
        <v>4584</v>
      </c>
      <c r="C181">
        <f t="shared" si="6"/>
        <v>81980696</v>
      </c>
      <c r="D181" s="3">
        <f t="shared" si="7"/>
        <v>99.920222947694683</v>
      </c>
      <c r="E181" t="str">
        <f t="shared" si="8"/>
        <v>D</v>
      </c>
    </row>
    <row r="182" spans="1:5" x14ac:dyDescent="0.25">
      <c r="A182">
        <v>1124</v>
      </c>
      <c r="B182">
        <f>VLOOKUP(A182,[1]Sheet7!$F$4:$I$209,4,FALSE)</f>
        <v>4389</v>
      </c>
      <c r="C182">
        <f t="shared" si="6"/>
        <v>81985085</v>
      </c>
      <c r="D182" s="3">
        <f t="shared" si="7"/>
        <v>99.925572376034708</v>
      </c>
      <c r="E182" t="str">
        <f t="shared" si="8"/>
        <v>D</v>
      </c>
    </row>
    <row r="183" spans="1:5" x14ac:dyDescent="0.25">
      <c r="A183">
        <v>1072</v>
      </c>
      <c r="B183">
        <f>VLOOKUP(A183,[1]Sheet7!$F$4:$I$209,4,FALSE)</f>
        <v>4263</v>
      </c>
      <c r="C183">
        <f t="shared" si="6"/>
        <v>81989348</v>
      </c>
      <c r="D183" s="3">
        <f t="shared" si="7"/>
        <v>99.930768232269273</v>
      </c>
      <c r="E183" t="str">
        <f t="shared" si="8"/>
        <v>D</v>
      </c>
    </row>
    <row r="184" spans="1:5" x14ac:dyDescent="0.25">
      <c r="A184">
        <v>1078</v>
      </c>
      <c r="B184">
        <f>VLOOKUP(A184,[1]Sheet7!$F$4:$I$209,4,FALSE)</f>
        <v>4200</v>
      </c>
      <c r="C184">
        <f t="shared" si="6"/>
        <v>81993548</v>
      </c>
      <c r="D184" s="3">
        <f t="shared" si="7"/>
        <v>99.935887302451121</v>
      </c>
      <c r="E184" t="str">
        <f t="shared" si="8"/>
        <v>D</v>
      </c>
    </row>
    <row r="185" spans="1:5" x14ac:dyDescent="0.25">
      <c r="A185">
        <v>1146</v>
      </c>
      <c r="B185">
        <f>VLOOKUP(A185,[1]Sheet7!$F$4:$I$209,4,FALSE)</f>
        <v>4050</v>
      </c>
      <c r="C185">
        <f t="shared" si="6"/>
        <v>81997598</v>
      </c>
      <c r="D185" s="3">
        <f t="shared" si="7"/>
        <v>99.940823548697892</v>
      </c>
      <c r="E185" t="str">
        <f t="shared" si="8"/>
        <v>D</v>
      </c>
    </row>
    <row r="186" spans="1:5" x14ac:dyDescent="0.25">
      <c r="A186">
        <v>1077</v>
      </c>
      <c r="B186">
        <f>VLOOKUP(A186,[1]Sheet7!$F$4:$I$209,4,FALSE)</f>
        <v>3978</v>
      </c>
      <c r="C186">
        <f t="shared" si="6"/>
        <v>82001576</v>
      </c>
      <c r="D186" s="3">
        <f t="shared" si="7"/>
        <v>99.945672039455843</v>
      </c>
      <c r="E186" t="str">
        <f t="shared" si="8"/>
        <v>D</v>
      </c>
    </row>
    <row r="187" spans="1:5" x14ac:dyDescent="0.25">
      <c r="A187">
        <v>1024</v>
      </c>
      <c r="B187">
        <f>VLOOKUP(A187,[1]Sheet7!$F$4:$I$209,4,FALSE)</f>
        <v>3416</v>
      </c>
      <c r="C187">
        <f t="shared" si="6"/>
        <v>82004992</v>
      </c>
      <c r="D187" s="3">
        <f t="shared" si="7"/>
        <v>99.9498355498704</v>
      </c>
      <c r="E187" t="str">
        <f t="shared" si="8"/>
        <v>D</v>
      </c>
    </row>
    <row r="188" spans="1:5" x14ac:dyDescent="0.25">
      <c r="A188">
        <v>1075</v>
      </c>
      <c r="B188">
        <f>VLOOKUP(A188,[1]Sheet7!$F$4:$I$209,4,FALSE)</f>
        <v>3075</v>
      </c>
      <c r="C188">
        <f t="shared" si="6"/>
        <v>82008067</v>
      </c>
      <c r="D188" s="3">
        <f t="shared" si="7"/>
        <v>99.953583440539262</v>
      </c>
      <c r="E188" t="str">
        <f t="shared" si="8"/>
        <v>D</v>
      </c>
    </row>
    <row r="189" spans="1:5" x14ac:dyDescent="0.25">
      <c r="A189">
        <v>1121</v>
      </c>
      <c r="B189">
        <f>VLOOKUP(A189,[1]Sheet7!$F$4:$I$209,4,FALSE)</f>
        <v>3024</v>
      </c>
      <c r="C189">
        <f t="shared" si="6"/>
        <v>82011091</v>
      </c>
      <c r="D189" s="3">
        <f t="shared" si="7"/>
        <v>99.95726917107018</v>
      </c>
      <c r="E189" t="str">
        <f t="shared" si="8"/>
        <v>D</v>
      </c>
    </row>
    <row r="190" spans="1:5" x14ac:dyDescent="0.25">
      <c r="A190">
        <v>1148</v>
      </c>
      <c r="B190">
        <f>VLOOKUP(A190,[1]Sheet7!$F$4:$I$209,4,FALSE)</f>
        <v>2960</v>
      </c>
      <c r="C190">
        <f t="shared" si="6"/>
        <v>82014051</v>
      </c>
      <c r="D190" s="3">
        <f t="shared" si="7"/>
        <v>99.960876896722155</v>
      </c>
      <c r="E190" t="str">
        <f t="shared" si="8"/>
        <v>D</v>
      </c>
    </row>
    <row r="191" spans="1:5" x14ac:dyDescent="0.25">
      <c r="A191">
        <v>1103</v>
      </c>
      <c r="B191">
        <f>VLOOKUP(A191,[1]Sheet7!$F$4:$I$209,4,FALSE)</f>
        <v>2907</v>
      </c>
      <c r="C191">
        <f t="shared" si="6"/>
        <v>82016958</v>
      </c>
      <c r="D191" s="3">
        <f t="shared" si="7"/>
        <v>99.964420024583717</v>
      </c>
      <c r="E191" t="str">
        <f t="shared" si="8"/>
        <v>D</v>
      </c>
    </row>
    <row r="192" spans="1:5" x14ac:dyDescent="0.25">
      <c r="A192">
        <v>1097</v>
      </c>
      <c r="B192">
        <f>VLOOKUP(A192,[1]Sheet7!$F$4:$I$209,4,FALSE)</f>
        <v>2839</v>
      </c>
      <c r="C192">
        <f t="shared" si="6"/>
        <v>82019797</v>
      </c>
      <c r="D192" s="3">
        <f t="shared" si="7"/>
        <v>99.967880272261397</v>
      </c>
      <c r="E192" t="str">
        <f t="shared" si="8"/>
        <v>D</v>
      </c>
    </row>
    <row r="193" spans="1:5" x14ac:dyDescent="0.25">
      <c r="A193">
        <v>1076</v>
      </c>
      <c r="B193">
        <f>VLOOKUP(A193,[1]Sheet7!$F$4:$I$209,4,FALSE)</f>
        <v>2592</v>
      </c>
      <c r="C193">
        <f t="shared" si="6"/>
        <v>82022389</v>
      </c>
      <c r="D193" s="3">
        <f t="shared" si="7"/>
        <v>99.971039469859349</v>
      </c>
      <c r="E193" t="str">
        <f t="shared" si="8"/>
        <v>D</v>
      </c>
    </row>
    <row r="194" spans="1:5" x14ac:dyDescent="0.25">
      <c r="A194">
        <v>1019</v>
      </c>
      <c r="B194">
        <f>VLOOKUP(A194,[1]Sheet7!$F$4:$I$209,4,FALSE)</f>
        <v>2500</v>
      </c>
      <c r="C194">
        <f t="shared" si="6"/>
        <v>82024889</v>
      </c>
      <c r="D194" s="3">
        <f t="shared" si="7"/>
        <v>99.974086535443774</v>
      </c>
      <c r="E194" t="str">
        <f t="shared" si="8"/>
        <v>D</v>
      </c>
    </row>
    <row r="195" spans="1:5" x14ac:dyDescent="0.25">
      <c r="A195">
        <v>1120</v>
      </c>
      <c r="B195">
        <f>VLOOKUP(A195,[1]Sheet7!$F$4:$I$209,4,FALSE)</f>
        <v>2490</v>
      </c>
      <c r="C195">
        <f t="shared" ref="C195:C206" si="9">B195+C194</f>
        <v>82027379</v>
      </c>
      <c r="D195" s="3">
        <f t="shared" ref="D195:D206" si="10">C195/$C$206*100</f>
        <v>99.977121412765868</v>
      </c>
      <c r="E195" t="str">
        <f t="shared" ref="E195:E206" si="11">IF(D195 &lt;= 60, "A", IF(D195 &lt;= 80, "B", IF(D195 &lt;= 90, "C", "D")))</f>
        <v>D</v>
      </c>
    </row>
    <row r="196" spans="1:5" x14ac:dyDescent="0.25">
      <c r="A196">
        <v>1105</v>
      </c>
      <c r="B196">
        <f>VLOOKUP(A196,[1]Sheet7!$F$4:$I$209,4,FALSE)</f>
        <v>2330</v>
      </c>
      <c r="C196">
        <f t="shared" si="9"/>
        <v>82029709</v>
      </c>
      <c r="D196" s="3">
        <f t="shared" si="10"/>
        <v>99.979961277890553</v>
      </c>
      <c r="E196" t="str">
        <f t="shared" si="11"/>
        <v>D</v>
      </c>
    </row>
    <row r="197" spans="1:5" x14ac:dyDescent="0.25">
      <c r="A197">
        <v>1144</v>
      </c>
      <c r="B197">
        <f>VLOOKUP(A197,[1]Sheet7!$F$4:$I$209,4,FALSE)</f>
        <v>2275</v>
      </c>
      <c r="C197">
        <f t="shared" si="9"/>
        <v>82031984</v>
      </c>
      <c r="D197" s="3">
        <f t="shared" si="10"/>
        <v>99.982734107572384</v>
      </c>
      <c r="E197" t="str">
        <f t="shared" si="11"/>
        <v>D</v>
      </c>
    </row>
    <row r="198" spans="1:5" x14ac:dyDescent="0.25">
      <c r="A198">
        <v>1109</v>
      </c>
      <c r="B198">
        <f>VLOOKUP(A198,[1]Sheet7!$F$4:$I$209,4,FALSE)</f>
        <v>2235</v>
      </c>
      <c r="C198">
        <f t="shared" si="9"/>
        <v>82034219</v>
      </c>
      <c r="D198" s="3">
        <f t="shared" si="10"/>
        <v>99.985458184204873</v>
      </c>
      <c r="E198" t="str">
        <f t="shared" si="11"/>
        <v>D</v>
      </c>
    </row>
    <row r="199" spans="1:5" x14ac:dyDescent="0.25">
      <c r="A199">
        <v>1115</v>
      </c>
      <c r="B199">
        <f>VLOOKUP(A199,[1]Sheet7!$F$4:$I$209,4,FALSE)</f>
        <v>2211</v>
      </c>
      <c r="C199">
        <f t="shared" si="9"/>
        <v>82036430</v>
      </c>
      <c r="D199" s="3">
        <f t="shared" si="10"/>
        <v>99.988153009007732</v>
      </c>
      <c r="E199" t="str">
        <f t="shared" si="11"/>
        <v>D</v>
      </c>
    </row>
    <row r="200" spans="1:5" x14ac:dyDescent="0.25">
      <c r="A200">
        <v>1123</v>
      </c>
      <c r="B200">
        <f>VLOOKUP(A200,[1]Sheet7!$F$4:$I$209,4,FALSE)</f>
        <v>1830</v>
      </c>
      <c r="C200">
        <f t="shared" si="9"/>
        <v>82038260</v>
      </c>
      <c r="D200" s="3">
        <f t="shared" si="10"/>
        <v>99.99038346101554</v>
      </c>
      <c r="E200" t="str">
        <f t="shared" si="11"/>
        <v>D</v>
      </c>
    </row>
    <row r="201" spans="1:5" x14ac:dyDescent="0.25">
      <c r="A201">
        <v>1113</v>
      </c>
      <c r="B201">
        <f>VLOOKUP(A201,[1]Sheet7!$F$4:$I$209,4,FALSE)</f>
        <v>1582</v>
      </c>
      <c r="C201">
        <f t="shared" si="9"/>
        <v>82039842</v>
      </c>
      <c r="D201" s="3">
        <f t="shared" si="10"/>
        <v>99.992311644117365</v>
      </c>
      <c r="E201" t="str">
        <f t="shared" si="11"/>
        <v>D</v>
      </c>
    </row>
    <row r="202" spans="1:5" x14ac:dyDescent="0.25">
      <c r="A202">
        <v>1016</v>
      </c>
      <c r="B202">
        <f>VLOOKUP(A202,[1]Sheet7!$F$4:$I$209,4,FALSE)</f>
        <v>1580</v>
      </c>
      <c r="C202">
        <f t="shared" si="9"/>
        <v>82041422</v>
      </c>
      <c r="D202" s="3">
        <f t="shared" si="10"/>
        <v>99.99423738956672</v>
      </c>
      <c r="E202" t="str">
        <f t="shared" si="11"/>
        <v>D</v>
      </c>
    </row>
    <row r="203" spans="1:5" x14ac:dyDescent="0.25">
      <c r="A203">
        <v>1083</v>
      </c>
      <c r="B203">
        <f>VLOOKUP(A203,[1]Sheet7!$F$4:$I$209,4,FALSE)</f>
        <v>1533</v>
      </c>
      <c r="C203">
        <f t="shared" si="9"/>
        <v>82042955</v>
      </c>
      <c r="D203" s="3">
        <f t="shared" si="10"/>
        <v>99.996105850183099</v>
      </c>
      <c r="E203" t="str">
        <f t="shared" si="11"/>
        <v>D</v>
      </c>
    </row>
    <row r="204" spans="1:5" x14ac:dyDescent="0.25">
      <c r="A204">
        <v>1013</v>
      </c>
      <c r="B204">
        <f>VLOOKUP(A204,[1]Sheet7!$F$4:$I$209,4,FALSE)</f>
        <v>1368</v>
      </c>
      <c r="C204">
        <f t="shared" si="9"/>
        <v>82044323</v>
      </c>
      <c r="D204" s="3">
        <f t="shared" si="10"/>
        <v>99.997773204470903</v>
      </c>
      <c r="E204" t="str">
        <f t="shared" si="11"/>
        <v>D</v>
      </c>
    </row>
    <row r="205" spans="1:5" x14ac:dyDescent="0.25">
      <c r="A205">
        <v>1086</v>
      </c>
      <c r="B205">
        <f>VLOOKUP(A205,[1]Sheet7!$F$4:$I$209,4,FALSE)</f>
        <v>1152</v>
      </c>
      <c r="C205">
        <f t="shared" si="9"/>
        <v>82045475</v>
      </c>
      <c r="D205" s="3">
        <f t="shared" si="10"/>
        <v>99.999177292292202</v>
      </c>
      <c r="E205" t="str">
        <f t="shared" si="11"/>
        <v>D</v>
      </c>
    </row>
    <row r="206" spans="1:5" x14ac:dyDescent="0.25">
      <c r="A206">
        <v>1015</v>
      </c>
      <c r="B206">
        <f>VLOOKUP(A206,[1]Sheet7!$F$4:$I$209,4,FALSE)</f>
        <v>675</v>
      </c>
      <c r="C206">
        <f t="shared" si="9"/>
        <v>82046150</v>
      </c>
      <c r="D206" s="3">
        <f t="shared" si="10"/>
        <v>100</v>
      </c>
      <c r="E206" t="str">
        <f t="shared" si="11"/>
        <v>D</v>
      </c>
    </row>
  </sheetData>
  <sortState xmlns:xlrd2="http://schemas.microsoft.com/office/spreadsheetml/2017/richdata2" ref="A2:B206">
    <sortCondition descending="1" ref="B1:B20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62F61-BEB1-4CBA-B353-6974F461D6C0}">
  <dimension ref="A1:M206"/>
  <sheetViews>
    <sheetView tabSelected="1" workbookViewId="0">
      <selection activeCell="C15" sqref="C15"/>
    </sheetView>
  </sheetViews>
  <sheetFormatPr defaultRowHeight="15" x14ac:dyDescent="0.25"/>
  <cols>
    <col min="1" max="1" width="14.140625" customWidth="1"/>
    <col min="2" max="2" width="14.5703125" customWidth="1"/>
    <col min="3" max="3" width="20.140625" customWidth="1"/>
    <col min="4" max="4" width="13.42578125" customWidth="1"/>
    <col min="5" max="5" width="8.7109375" customWidth="1"/>
    <col min="9" max="9" width="13" customWidth="1"/>
    <col min="10" max="10" width="9" customWidth="1"/>
    <col min="11" max="11" width="12.5703125" customWidth="1"/>
    <col min="12" max="12" width="10.28515625" customWidth="1"/>
    <col min="13" max="13" width="19.28515625" customWidth="1"/>
  </cols>
  <sheetData>
    <row r="1" spans="1:13" x14ac:dyDescent="0.25">
      <c r="A1" t="s">
        <v>0</v>
      </c>
      <c r="B1" t="s">
        <v>3</v>
      </c>
      <c r="C1" t="s">
        <v>272</v>
      </c>
      <c r="D1" t="s">
        <v>211</v>
      </c>
      <c r="E1" t="s">
        <v>210</v>
      </c>
      <c r="H1" t="s">
        <v>210</v>
      </c>
      <c r="I1" t="s">
        <v>247</v>
      </c>
      <c r="J1" t="s">
        <v>248</v>
      </c>
    </row>
    <row r="2" spans="1:13" x14ac:dyDescent="0.25">
      <c r="A2">
        <v>1092</v>
      </c>
      <c r="B2">
        <f>VLOOKUP(A2,[1]Hits!A$1:D$206,4,0)</f>
        <v>2064</v>
      </c>
      <c r="C2">
        <f>B2</f>
        <v>2064</v>
      </c>
      <c r="D2" s="3">
        <f>C2/$C$206*100</f>
        <v>8.8766557715465328</v>
      </c>
      <c r="E2" t="str">
        <f>IF(D2 &lt;= 60, "A", IF(D2 &lt;= 80, "B", IF(D2 &lt;= 90, "C", "D")))</f>
        <v>A</v>
      </c>
      <c r="H2" t="s">
        <v>212</v>
      </c>
      <c r="I2" s="5" t="s">
        <v>249</v>
      </c>
      <c r="J2" s="5">
        <v>0.6</v>
      </c>
    </row>
    <row r="3" spans="1:13" x14ac:dyDescent="0.25">
      <c r="A3">
        <v>1090</v>
      </c>
      <c r="B3">
        <f>VLOOKUP(A3,[1]Hits!A$1:D$206,4,0)</f>
        <v>1780</v>
      </c>
      <c r="C3">
        <f t="shared" ref="C3:C46" si="0">B3+C2</f>
        <v>3844</v>
      </c>
      <c r="D3" s="3">
        <f t="shared" ref="D3:D66" si="1">C3/$C$206*100</f>
        <v>16.531911233442283</v>
      </c>
      <c r="E3" t="str">
        <f t="shared" ref="E3:E66" si="2">IF(D3 &lt;= 60, "A", IF(D3 &lt;= 80, "B", IF(D3 &lt;= 90, "C", "D")))</f>
        <v>A</v>
      </c>
      <c r="H3" t="s">
        <v>213</v>
      </c>
      <c r="I3" s="5" t="s">
        <v>250</v>
      </c>
      <c r="J3" s="5">
        <v>0.8</v>
      </c>
    </row>
    <row r="4" spans="1:13" x14ac:dyDescent="0.25">
      <c r="A4">
        <v>1091</v>
      </c>
      <c r="B4">
        <f>VLOOKUP(A4,[1]Hits!A$1:D$206,4,0)</f>
        <v>948</v>
      </c>
      <c r="C4">
        <f t="shared" si="0"/>
        <v>4792</v>
      </c>
      <c r="D4" s="3">
        <f t="shared" si="1"/>
        <v>20.608979872699123</v>
      </c>
      <c r="E4" t="str">
        <f t="shared" si="2"/>
        <v>A</v>
      </c>
      <c r="H4" t="s">
        <v>214</v>
      </c>
      <c r="I4" s="5" t="s">
        <v>251</v>
      </c>
      <c r="J4" s="5">
        <v>0.9</v>
      </c>
    </row>
    <row r="5" spans="1:13" x14ac:dyDescent="0.25">
      <c r="A5">
        <v>1168</v>
      </c>
      <c r="B5">
        <f>VLOOKUP(A5,[1]Hits!A$1:D$206,4,0)</f>
        <v>933</v>
      </c>
      <c r="C5">
        <f t="shared" si="0"/>
        <v>5725</v>
      </c>
      <c r="D5" s="3">
        <f t="shared" si="1"/>
        <v>24.621537932220885</v>
      </c>
      <c r="E5" t="str">
        <f t="shared" si="2"/>
        <v>A</v>
      </c>
      <c r="H5" t="s">
        <v>215</v>
      </c>
      <c r="I5" s="5" t="s">
        <v>252</v>
      </c>
      <c r="J5" s="5">
        <v>1</v>
      </c>
      <c r="K5" s="21"/>
      <c r="L5" s="21"/>
    </row>
    <row r="6" spans="1:13" x14ac:dyDescent="0.25">
      <c r="A6">
        <v>1196</v>
      </c>
      <c r="B6">
        <f>VLOOKUP(A6,[1]Hits!A$1:D$206,4,0)</f>
        <v>784</v>
      </c>
      <c r="C6">
        <f t="shared" si="0"/>
        <v>6509</v>
      </c>
      <c r="D6" s="3">
        <f t="shared" si="1"/>
        <v>27.993290899707553</v>
      </c>
      <c r="E6" t="str">
        <f t="shared" si="2"/>
        <v>A</v>
      </c>
    </row>
    <row r="7" spans="1:13" x14ac:dyDescent="0.25">
      <c r="A7">
        <v>1167</v>
      </c>
      <c r="B7">
        <f>VLOOKUP(A7,[1]Hits!A$1:D$206,4,0)</f>
        <v>772</v>
      </c>
      <c r="C7">
        <f t="shared" si="0"/>
        <v>7281</v>
      </c>
      <c r="D7" s="3">
        <f t="shared" si="1"/>
        <v>31.31343540340616</v>
      </c>
      <c r="E7" t="str">
        <f t="shared" si="2"/>
        <v>A</v>
      </c>
    </row>
    <row r="8" spans="1:13" x14ac:dyDescent="0.25">
      <c r="A8">
        <v>1170</v>
      </c>
      <c r="B8">
        <f>VLOOKUP(A8,[1]Hits!A$1:D$206,4,0)</f>
        <v>764</v>
      </c>
      <c r="C8">
        <f t="shared" si="0"/>
        <v>8045</v>
      </c>
      <c r="D8" s="3">
        <f t="shared" si="1"/>
        <v>34.599174264579389</v>
      </c>
      <c r="E8" t="str">
        <f t="shared" si="2"/>
        <v>A</v>
      </c>
      <c r="L8" s="5"/>
      <c r="M8" s="5"/>
    </row>
    <row r="9" spans="1:13" x14ac:dyDescent="0.25">
      <c r="A9">
        <v>1045</v>
      </c>
      <c r="B9">
        <f>VLOOKUP(A9,[1]Hits!A$1:D$206,4,0)</f>
        <v>743</v>
      </c>
      <c r="C9">
        <f t="shared" si="0"/>
        <v>8788</v>
      </c>
      <c r="D9" s="3">
        <f t="shared" si="1"/>
        <v>37.794598314123519</v>
      </c>
      <c r="E9" t="str">
        <f t="shared" si="2"/>
        <v>A</v>
      </c>
      <c r="L9" s="5"/>
      <c r="M9" s="5"/>
    </row>
    <row r="10" spans="1:13" x14ac:dyDescent="0.25">
      <c r="A10">
        <v>1178</v>
      </c>
      <c r="B10">
        <f>VLOOKUP(A10,[1]Hits!A$1:D$206,4,0)</f>
        <v>661</v>
      </c>
      <c r="C10">
        <f t="shared" si="0"/>
        <v>9449</v>
      </c>
      <c r="D10" s="3">
        <f t="shared" si="1"/>
        <v>40.637364527782552</v>
      </c>
      <c r="E10" t="str">
        <f t="shared" si="2"/>
        <v>A</v>
      </c>
      <c r="L10" s="5"/>
      <c r="M10" s="5"/>
    </row>
    <row r="11" spans="1:13" x14ac:dyDescent="0.25">
      <c r="A11">
        <v>1171</v>
      </c>
      <c r="B11">
        <f>VLOOKUP(A11,[1]Hits!A$1:D$206,4,0)</f>
        <v>564</v>
      </c>
      <c r="C11">
        <f t="shared" si="0"/>
        <v>10013</v>
      </c>
      <c r="D11" s="3">
        <f t="shared" si="1"/>
        <v>43.062962325821438</v>
      </c>
      <c r="E11" t="str">
        <f t="shared" si="2"/>
        <v>A</v>
      </c>
      <c r="L11" s="5"/>
      <c r="M11" s="5"/>
    </row>
    <row r="12" spans="1:13" x14ac:dyDescent="0.25">
      <c r="A12">
        <v>1205</v>
      </c>
      <c r="B12">
        <f>VLOOKUP(A12,[1]Hits!A$1:D$206,4,0)</f>
        <v>545</v>
      </c>
      <c r="C12">
        <f t="shared" si="0"/>
        <v>10558</v>
      </c>
      <c r="D12" s="3">
        <f t="shared" si="1"/>
        <v>45.406846722862547</v>
      </c>
      <c r="E12" t="str">
        <f t="shared" si="2"/>
        <v>A</v>
      </c>
    </row>
    <row r="13" spans="1:13" x14ac:dyDescent="0.25">
      <c r="A13">
        <v>1198</v>
      </c>
      <c r="B13">
        <f>VLOOKUP(A13,[1]Hits!A$1:D$206,4,0)</f>
        <v>537</v>
      </c>
      <c r="C13">
        <f t="shared" si="0"/>
        <v>11095</v>
      </c>
      <c r="D13" s="3">
        <f t="shared" si="1"/>
        <v>47.716325477378291</v>
      </c>
      <c r="E13" t="str">
        <f t="shared" si="2"/>
        <v>A</v>
      </c>
    </row>
    <row r="14" spans="1:13" x14ac:dyDescent="0.25">
      <c r="A14">
        <v>1159</v>
      </c>
      <c r="B14">
        <f>VLOOKUP(A14,[1]Hits!A$1:D$206,4,0)</f>
        <v>494</v>
      </c>
      <c r="C14">
        <f t="shared" si="0"/>
        <v>11589</v>
      </c>
      <c r="D14" s="3">
        <f t="shared" si="1"/>
        <v>49.840873903320144</v>
      </c>
      <c r="E14" t="str">
        <f t="shared" si="2"/>
        <v>A</v>
      </c>
    </row>
    <row r="15" spans="1:13" x14ac:dyDescent="0.25">
      <c r="A15">
        <v>1165</v>
      </c>
      <c r="B15">
        <f>VLOOKUP(A15,[1]Hits!A$1:D$206,4,0)</f>
        <v>491</v>
      </c>
      <c r="C15">
        <f t="shared" si="0"/>
        <v>12080</v>
      </c>
      <c r="D15" s="3">
        <f t="shared" si="1"/>
        <v>51.952520213314976</v>
      </c>
      <c r="E15" t="str">
        <f t="shared" si="2"/>
        <v>A</v>
      </c>
    </row>
    <row r="16" spans="1:13" x14ac:dyDescent="0.25">
      <c r="A16">
        <v>1043</v>
      </c>
      <c r="B16">
        <f>VLOOKUP(A16,[1]Hits!A$1:D$206,4,0)</f>
        <v>468</v>
      </c>
      <c r="C16">
        <f t="shared" si="0"/>
        <v>12548</v>
      </c>
      <c r="D16" s="3">
        <f t="shared" si="1"/>
        <v>53.965250301049373</v>
      </c>
      <c r="E16" t="str">
        <f t="shared" si="2"/>
        <v>A</v>
      </c>
    </row>
    <row r="17" spans="1:11" x14ac:dyDescent="0.25">
      <c r="A17">
        <v>1201</v>
      </c>
      <c r="B17">
        <f>VLOOKUP(A17,[1]Hits!A$1:D$206,4,0)</f>
        <v>465</v>
      </c>
      <c r="C17">
        <f t="shared" si="0"/>
        <v>13013</v>
      </c>
      <c r="D17" s="3">
        <f t="shared" si="1"/>
        <v>55.965078272836742</v>
      </c>
      <c r="E17" t="str">
        <f t="shared" si="2"/>
        <v>A</v>
      </c>
    </row>
    <row r="18" spans="1:11" x14ac:dyDescent="0.25">
      <c r="A18">
        <v>1179</v>
      </c>
      <c r="B18">
        <f>VLOOKUP(A18,[1]Hits!A$1:D$206,4,0)</f>
        <v>455</v>
      </c>
      <c r="C18">
        <f t="shared" si="0"/>
        <v>13468</v>
      </c>
      <c r="D18" s="3">
        <f t="shared" si="1"/>
        <v>57.921899191467396</v>
      </c>
      <c r="E18" t="str">
        <f t="shared" si="2"/>
        <v>A</v>
      </c>
    </row>
    <row r="19" spans="1:11" x14ac:dyDescent="0.25">
      <c r="A19">
        <v>1176</v>
      </c>
      <c r="B19">
        <f>VLOOKUP(A19,[1]Hits!A$1:D$206,4,0)</f>
        <v>438</v>
      </c>
      <c r="C19">
        <f t="shared" si="0"/>
        <v>13906</v>
      </c>
      <c r="D19" s="3">
        <f t="shared" si="1"/>
        <v>59.805608119731637</v>
      </c>
      <c r="E19" t="str">
        <f t="shared" si="2"/>
        <v>A</v>
      </c>
    </row>
    <row r="20" spans="1:11" x14ac:dyDescent="0.25">
      <c r="A20">
        <v>1166</v>
      </c>
      <c r="B20">
        <f>VLOOKUP(A20,[1]Hits!A$1:D$206,4,0)</f>
        <v>345</v>
      </c>
      <c r="C20">
        <f t="shared" si="0"/>
        <v>14251</v>
      </c>
      <c r="D20" s="3">
        <f t="shared" si="1"/>
        <v>61.289351453638396</v>
      </c>
      <c r="E20" t="str">
        <f t="shared" si="2"/>
        <v>B</v>
      </c>
      <c r="K20" s="5"/>
    </row>
    <row r="21" spans="1:11" x14ac:dyDescent="0.25">
      <c r="A21">
        <v>1164</v>
      </c>
      <c r="B21">
        <f>VLOOKUP(A21,[1]Hits!A$1:D$206,4,0)</f>
        <v>342</v>
      </c>
      <c r="C21">
        <f t="shared" si="0"/>
        <v>14593</v>
      </c>
      <c r="D21" s="3">
        <f t="shared" si="1"/>
        <v>62.760192671598148</v>
      </c>
      <c r="E21" t="str">
        <f t="shared" si="2"/>
        <v>B</v>
      </c>
      <c r="K21" s="5"/>
    </row>
    <row r="22" spans="1:11" x14ac:dyDescent="0.25">
      <c r="A22">
        <v>1042</v>
      </c>
      <c r="B22">
        <f>VLOOKUP(A22,[1]Hits!A$1:D$206,4,0)</f>
        <v>306</v>
      </c>
      <c r="C22">
        <f t="shared" si="0"/>
        <v>14899</v>
      </c>
      <c r="D22" s="3">
        <f t="shared" si="1"/>
        <v>64.076208498193694</v>
      </c>
      <c r="E22" t="str">
        <f t="shared" si="2"/>
        <v>B</v>
      </c>
      <c r="K22" s="5"/>
    </row>
    <row r="23" spans="1:11" x14ac:dyDescent="0.25">
      <c r="A23">
        <v>1192</v>
      </c>
      <c r="B23">
        <f>VLOOKUP(A23,[1]Hits!A$1:D$206,4,0)</f>
        <v>132</v>
      </c>
      <c r="C23">
        <f t="shared" si="0"/>
        <v>15031</v>
      </c>
      <c r="D23" s="3">
        <f t="shared" si="1"/>
        <v>64.643901599862374</v>
      </c>
      <c r="E23" t="str">
        <f t="shared" si="2"/>
        <v>B</v>
      </c>
    </row>
    <row r="24" spans="1:11" x14ac:dyDescent="0.25">
      <c r="A24">
        <v>1050</v>
      </c>
      <c r="B24">
        <f>VLOOKUP(A24,[1]Hits!A$1:D$206,4,0)</f>
        <v>121</v>
      </c>
      <c r="C24">
        <f t="shared" si="0"/>
        <v>15152</v>
      </c>
      <c r="D24" s="3">
        <f t="shared" si="1"/>
        <v>65.164286943058656</v>
      </c>
      <c r="E24" t="str">
        <f t="shared" si="2"/>
        <v>B</v>
      </c>
    </row>
    <row r="25" spans="1:11" x14ac:dyDescent="0.25">
      <c r="A25">
        <v>1177</v>
      </c>
      <c r="B25">
        <f>VLOOKUP(A25,[1]Hits!A$1:D$206,4,0)</f>
        <v>112</v>
      </c>
      <c r="C25">
        <f t="shared" si="0"/>
        <v>15264</v>
      </c>
      <c r="D25" s="3">
        <f t="shared" si="1"/>
        <v>65.645965938413894</v>
      </c>
      <c r="E25" t="str">
        <f t="shared" si="2"/>
        <v>B</v>
      </c>
    </row>
    <row r="26" spans="1:11" x14ac:dyDescent="0.25">
      <c r="A26">
        <v>1194</v>
      </c>
      <c r="B26">
        <f>VLOOKUP(A26,[1]Hits!A$1:D$206,4,0)</f>
        <v>106</v>
      </c>
      <c r="C26">
        <f t="shared" si="0"/>
        <v>15370</v>
      </c>
      <c r="D26" s="3">
        <f t="shared" si="1"/>
        <v>66.101840701875105</v>
      </c>
      <c r="E26" t="str">
        <f t="shared" si="2"/>
        <v>B</v>
      </c>
    </row>
    <row r="27" spans="1:11" x14ac:dyDescent="0.25">
      <c r="A27">
        <v>1211</v>
      </c>
      <c r="B27">
        <f>VLOOKUP(A27,[1]Hits!A$1:D$206,4,0)</f>
        <v>106</v>
      </c>
      <c r="C27">
        <f t="shared" si="0"/>
        <v>15476</v>
      </c>
      <c r="D27" s="3">
        <f t="shared" si="1"/>
        <v>66.557715465336315</v>
      </c>
      <c r="E27" t="str">
        <f t="shared" si="2"/>
        <v>B</v>
      </c>
    </row>
    <row r="28" spans="1:11" x14ac:dyDescent="0.25">
      <c r="A28">
        <v>1156</v>
      </c>
      <c r="B28">
        <f>VLOOKUP(A28,[1]Hits!A$1:D$206,4,0)</f>
        <v>105</v>
      </c>
      <c r="C28">
        <f t="shared" si="0"/>
        <v>15581</v>
      </c>
      <c r="D28" s="3">
        <f t="shared" si="1"/>
        <v>67.009289523481854</v>
      </c>
      <c r="E28" t="str">
        <f t="shared" si="2"/>
        <v>B</v>
      </c>
    </row>
    <row r="29" spans="1:11" x14ac:dyDescent="0.25">
      <c r="A29">
        <v>1041</v>
      </c>
      <c r="B29">
        <f>VLOOKUP(A29,[1]Hits!A$1:D$206,4,0)</f>
        <v>104</v>
      </c>
      <c r="C29">
        <f t="shared" si="0"/>
        <v>15685</v>
      </c>
      <c r="D29" s="3">
        <f t="shared" si="1"/>
        <v>67.456562876311708</v>
      </c>
      <c r="E29" t="str">
        <f t="shared" si="2"/>
        <v>B</v>
      </c>
    </row>
    <row r="30" spans="1:11" x14ac:dyDescent="0.25">
      <c r="A30">
        <v>1154</v>
      </c>
      <c r="B30">
        <f>VLOOKUP(A30,[1]Hits!A$1:D$206,4,0)</f>
        <v>102</v>
      </c>
      <c r="C30">
        <f t="shared" si="0"/>
        <v>15787</v>
      </c>
      <c r="D30" s="3">
        <f t="shared" si="1"/>
        <v>67.895234818510232</v>
      </c>
      <c r="E30" t="str">
        <f t="shared" si="2"/>
        <v>B</v>
      </c>
    </row>
    <row r="31" spans="1:11" x14ac:dyDescent="0.25">
      <c r="A31">
        <v>1049</v>
      </c>
      <c r="B31">
        <f>VLOOKUP(A31,[1]Hits!A$1:D$206,4,0)</f>
        <v>102</v>
      </c>
      <c r="C31">
        <f t="shared" si="0"/>
        <v>15889</v>
      </c>
      <c r="D31" s="3">
        <f t="shared" si="1"/>
        <v>68.333906760708757</v>
      </c>
      <c r="E31" t="str">
        <f t="shared" si="2"/>
        <v>B</v>
      </c>
    </row>
    <row r="32" spans="1:11" x14ac:dyDescent="0.25">
      <c r="A32">
        <v>1044</v>
      </c>
      <c r="B32">
        <f>VLOOKUP(A32,[1]Hits!A$1:D$206,4,0)</f>
        <v>101</v>
      </c>
      <c r="C32">
        <f t="shared" si="0"/>
        <v>15990</v>
      </c>
      <c r="D32" s="3">
        <f t="shared" si="1"/>
        <v>68.768277997591611</v>
      </c>
      <c r="E32" t="str">
        <f t="shared" si="2"/>
        <v>B</v>
      </c>
    </row>
    <row r="33" spans="1:5" x14ac:dyDescent="0.25">
      <c r="A33">
        <v>1173</v>
      </c>
      <c r="B33">
        <f>VLOOKUP(A33,[1]Hits!A$1:D$206,4,0)</f>
        <v>99</v>
      </c>
      <c r="C33">
        <f t="shared" si="0"/>
        <v>16089</v>
      </c>
      <c r="D33" s="3">
        <f t="shared" si="1"/>
        <v>69.194047823843107</v>
      </c>
      <c r="E33" t="str">
        <f t="shared" si="2"/>
        <v>B</v>
      </c>
    </row>
    <row r="34" spans="1:5" x14ac:dyDescent="0.25">
      <c r="A34">
        <v>1183</v>
      </c>
      <c r="B34">
        <f>VLOOKUP(A34,[1]Hits!A$1:D$206,4,0)</f>
        <v>98</v>
      </c>
      <c r="C34">
        <f t="shared" si="0"/>
        <v>16187</v>
      </c>
      <c r="D34" s="3">
        <f t="shared" si="1"/>
        <v>69.615516944778946</v>
      </c>
      <c r="E34" t="str">
        <f t="shared" si="2"/>
        <v>B</v>
      </c>
    </row>
    <row r="35" spans="1:5" x14ac:dyDescent="0.25">
      <c r="A35">
        <v>1151</v>
      </c>
      <c r="B35">
        <f>VLOOKUP(A35,[1]Hits!A$1:D$206,4,0)</f>
        <v>98</v>
      </c>
      <c r="C35">
        <f t="shared" si="0"/>
        <v>16285</v>
      </c>
      <c r="D35" s="3">
        <f t="shared" si="1"/>
        <v>70.036986065714785</v>
      </c>
      <c r="E35" t="str">
        <f t="shared" si="2"/>
        <v>B</v>
      </c>
    </row>
    <row r="36" spans="1:5" x14ac:dyDescent="0.25">
      <c r="A36">
        <v>1048</v>
      </c>
      <c r="B36">
        <f>VLOOKUP(A36,[1]Hits!A$1:D$206,4,0)</f>
        <v>98</v>
      </c>
      <c r="C36">
        <f t="shared" si="0"/>
        <v>16383</v>
      </c>
      <c r="D36" s="3">
        <f t="shared" si="1"/>
        <v>70.45845518665061</v>
      </c>
      <c r="E36" t="str">
        <f t="shared" si="2"/>
        <v>B</v>
      </c>
    </row>
    <row r="37" spans="1:5" x14ac:dyDescent="0.25">
      <c r="A37">
        <v>1213</v>
      </c>
      <c r="B37">
        <f>VLOOKUP(A37,[1]Hits!A$1:D$206,4,0)</f>
        <v>97</v>
      </c>
      <c r="C37">
        <f t="shared" si="0"/>
        <v>16480</v>
      </c>
      <c r="D37" s="3">
        <f t="shared" si="1"/>
        <v>70.875623602270778</v>
      </c>
      <c r="E37" t="str">
        <f t="shared" si="2"/>
        <v>B</v>
      </c>
    </row>
    <row r="38" spans="1:5" x14ac:dyDescent="0.25">
      <c r="A38">
        <v>1187</v>
      </c>
      <c r="B38">
        <f>VLOOKUP(A38,[1]Hits!A$1:D$206,4,0)</f>
        <v>97</v>
      </c>
      <c r="C38">
        <f t="shared" si="0"/>
        <v>16577</v>
      </c>
      <c r="D38" s="3">
        <f t="shared" si="1"/>
        <v>71.292792017890932</v>
      </c>
      <c r="E38" t="str">
        <f t="shared" si="2"/>
        <v>B</v>
      </c>
    </row>
    <row r="39" spans="1:5" x14ac:dyDescent="0.25">
      <c r="A39">
        <v>1150</v>
      </c>
      <c r="B39">
        <f>VLOOKUP(A39,[1]Hits!A$1:D$206,4,0)</f>
        <v>97</v>
      </c>
      <c r="C39">
        <f t="shared" si="0"/>
        <v>16674</v>
      </c>
      <c r="D39" s="3">
        <f t="shared" si="1"/>
        <v>71.7099604335111</v>
      </c>
      <c r="E39" t="str">
        <f t="shared" si="2"/>
        <v>B</v>
      </c>
    </row>
    <row r="40" spans="1:5" x14ac:dyDescent="0.25">
      <c r="A40">
        <v>1175</v>
      </c>
      <c r="B40">
        <f>VLOOKUP(A40,[1]Hits!A$1:D$206,4,0)</f>
        <v>97</v>
      </c>
      <c r="C40">
        <f t="shared" si="0"/>
        <v>16771</v>
      </c>
      <c r="D40" s="3">
        <f t="shared" si="1"/>
        <v>72.127128849131267</v>
      </c>
      <c r="E40" t="str">
        <f t="shared" si="2"/>
        <v>B</v>
      </c>
    </row>
    <row r="41" spans="1:5" x14ac:dyDescent="0.25">
      <c r="A41">
        <v>1152</v>
      </c>
      <c r="B41">
        <f>VLOOKUP(A41,[1]Hits!A$1:D$206,4,0)</f>
        <v>97</v>
      </c>
      <c r="C41">
        <f t="shared" si="0"/>
        <v>16868</v>
      </c>
      <c r="D41" s="3">
        <f t="shared" si="1"/>
        <v>72.544297264751421</v>
      </c>
      <c r="E41" t="str">
        <f t="shared" si="2"/>
        <v>B</v>
      </c>
    </row>
    <row r="42" spans="1:5" x14ac:dyDescent="0.25">
      <c r="A42">
        <v>1047</v>
      </c>
      <c r="B42">
        <f>VLOOKUP(A42,[1]Hits!A$1:D$206,4,0)</f>
        <v>97</v>
      </c>
      <c r="C42">
        <f t="shared" si="0"/>
        <v>16965</v>
      </c>
      <c r="D42" s="3">
        <f t="shared" si="1"/>
        <v>72.961465680371589</v>
      </c>
      <c r="E42" t="str">
        <f t="shared" si="2"/>
        <v>B</v>
      </c>
    </row>
    <row r="43" spans="1:5" x14ac:dyDescent="0.25">
      <c r="A43">
        <v>1193</v>
      </c>
      <c r="B43">
        <f>VLOOKUP(A43,[1]Hits!A$1:D$206,4,0)</f>
        <v>95</v>
      </c>
      <c r="C43">
        <f t="shared" si="0"/>
        <v>17060</v>
      </c>
      <c r="D43" s="3">
        <f t="shared" si="1"/>
        <v>73.3700326853604</v>
      </c>
      <c r="E43" t="str">
        <f t="shared" si="2"/>
        <v>B</v>
      </c>
    </row>
    <row r="44" spans="1:5" x14ac:dyDescent="0.25">
      <c r="A44">
        <v>1162</v>
      </c>
      <c r="B44">
        <f>VLOOKUP(A44,[1]Hits!A$1:D$206,4,0)</f>
        <v>95</v>
      </c>
      <c r="C44">
        <f t="shared" si="0"/>
        <v>17155</v>
      </c>
      <c r="D44" s="3">
        <f t="shared" si="1"/>
        <v>73.778599690349225</v>
      </c>
      <c r="E44" t="str">
        <f t="shared" si="2"/>
        <v>B</v>
      </c>
    </row>
    <row r="45" spans="1:5" x14ac:dyDescent="0.25">
      <c r="A45">
        <v>1163</v>
      </c>
      <c r="B45">
        <f>VLOOKUP(A45,[1]Hits!A$1:D$206,4,0)</f>
        <v>95</v>
      </c>
      <c r="C45">
        <f t="shared" si="0"/>
        <v>17250</v>
      </c>
      <c r="D45" s="3">
        <f t="shared" si="1"/>
        <v>74.187166695338036</v>
      </c>
      <c r="E45" t="str">
        <f t="shared" si="2"/>
        <v>B</v>
      </c>
    </row>
    <row r="46" spans="1:5" x14ac:dyDescent="0.25">
      <c r="A46">
        <v>1186</v>
      </c>
      <c r="B46">
        <f>VLOOKUP(A46,[1]Hits!A$1:D$206,4,0)</f>
        <v>95</v>
      </c>
      <c r="C46">
        <f t="shared" si="0"/>
        <v>17345</v>
      </c>
      <c r="D46" s="3">
        <f t="shared" si="1"/>
        <v>74.595733700326846</v>
      </c>
      <c r="E46" t="str">
        <f t="shared" si="2"/>
        <v>B</v>
      </c>
    </row>
    <row r="47" spans="1:5" x14ac:dyDescent="0.25">
      <c r="A47">
        <v>1160</v>
      </c>
      <c r="B47">
        <f>VLOOKUP(A47,[1]Hits!A$1:D$206,4,0)</f>
        <v>95</v>
      </c>
      <c r="C47">
        <f t="shared" ref="C47:C110" si="3">B47+C46</f>
        <v>17440</v>
      </c>
      <c r="D47" s="3">
        <f t="shared" si="1"/>
        <v>75.004300705315671</v>
      </c>
      <c r="E47" t="str">
        <f t="shared" si="2"/>
        <v>B</v>
      </c>
    </row>
    <row r="48" spans="1:5" x14ac:dyDescent="0.25">
      <c r="A48">
        <v>1155</v>
      </c>
      <c r="B48">
        <f>VLOOKUP(A48,[1]Hits!A$1:D$206,4,0)</f>
        <v>94</v>
      </c>
      <c r="C48">
        <f t="shared" si="3"/>
        <v>17534</v>
      </c>
      <c r="D48" s="3">
        <f t="shared" si="1"/>
        <v>75.408567004988811</v>
      </c>
      <c r="E48" t="str">
        <f t="shared" si="2"/>
        <v>B</v>
      </c>
    </row>
    <row r="49" spans="1:5" x14ac:dyDescent="0.25">
      <c r="A49">
        <v>1214</v>
      </c>
      <c r="B49">
        <f>VLOOKUP(A49,[1]Hits!A$1:D$206,4,0)</f>
        <v>94</v>
      </c>
      <c r="C49">
        <f t="shared" si="3"/>
        <v>17628</v>
      </c>
      <c r="D49" s="3">
        <f t="shared" si="1"/>
        <v>75.812833304661964</v>
      </c>
      <c r="E49" t="str">
        <f t="shared" si="2"/>
        <v>B</v>
      </c>
    </row>
    <row r="50" spans="1:5" x14ac:dyDescent="0.25">
      <c r="A50">
        <v>1169</v>
      </c>
      <c r="B50">
        <f>VLOOKUP(A50,[1]Hits!A$1:D$206,4,0)</f>
        <v>94</v>
      </c>
      <c r="C50">
        <f t="shared" si="3"/>
        <v>17722</v>
      </c>
      <c r="D50" s="3">
        <f t="shared" si="1"/>
        <v>76.217099604335118</v>
      </c>
      <c r="E50" t="str">
        <f t="shared" si="2"/>
        <v>B</v>
      </c>
    </row>
    <row r="51" spans="1:5" x14ac:dyDescent="0.25">
      <c r="A51">
        <v>1215</v>
      </c>
      <c r="B51">
        <f>VLOOKUP(A51,[1]Hits!A$1:D$206,4,0)</f>
        <v>92</v>
      </c>
      <c r="C51">
        <f t="shared" si="3"/>
        <v>17814</v>
      </c>
      <c r="D51" s="3">
        <f t="shared" si="1"/>
        <v>76.612764493376915</v>
      </c>
      <c r="E51" t="str">
        <f t="shared" si="2"/>
        <v>B</v>
      </c>
    </row>
    <row r="52" spans="1:5" x14ac:dyDescent="0.25">
      <c r="A52">
        <v>1207</v>
      </c>
      <c r="B52">
        <f>VLOOKUP(A52,[1]Hits!A$1:D$206,4,0)</f>
        <v>92</v>
      </c>
      <c r="C52">
        <f t="shared" si="3"/>
        <v>17906</v>
      </c>
      <c r="D52" s="3">
        <f t="shared" si="1"/>
        <v>77.008429382418726</v>
      </c>
      <c r="E52" t="str">
        <f t="shared" si="2"/>
        <v>B</v>
      </c>
    </row>
    <row r="53" spans="1:5" x14ac:dyDescent="0.25">
      <c r="A53">
        <v>1204</v>
      </c>
      <c r="B53">
        <f>VLOOKUP(A53,[1]Hits!A$1:D$206,4,0)</f>
        <v>92</v>
      </c>
      <c r="C53">
        <f t="shared" si="3"/>
        <v>17998</v>
      </c>
      <c r="D53" s="3">
        <f t="shared" si="1"/>
        <v>77.404094271460522</v>
      </c>
      <c r="E53" t="str">
        <f t="shared" si="2"/>
        <v>B</v>
      </c>
    </row>
    <row r="54" spans="1:5" x14ac:dyDescent="0.25">
      <c r="A54">
        <v>1203</v>
      </c>
      <c r="B54">
        <f>VLOOKUP(A54,[1]Hits!A$1:D$206,4,0)</f>
        <v>92</v>
      </c>
      <c r="C54">
        <f t="shared" si="3"/>
        <v>18090</v>
      </c>
      <c r="D54" s="3">
        <f t="shared" si="1"/>
        <v>77.799759160502319</v>
      </c>
      <c r="E54" t="str">
        <f t="shared" si="2"/>
        <v>B</v>
      </c>
    </row>
    <row r="55" spans="1:5" x14ac:dyDescent="0.25">
      <c r="A55">
        <v>1182</v>
      </c>
      <c r="B55">
        <f>VLOOKUP(A55,[1]Hits!A$1:D$206,4,0)</f>
        <v>92</v>
      </c>
      <c r="C55">
        <f t="shared" si="3"/>
        <v>18182</v>
      </c>
      <c r="D55" s="3">
        <f t="shared" si="1"/>
        <v>78.19542404954413</v>
      </c>
      <c r="E55" t="str">
        <f t="shared" si="2"/>
        <v>B</v>
      </c>
    </row>
    <row r="56" spans="1:5" x14ac:dyDescent="0.25">
      <c r="A56">
        <v>1200</v>
      </c>
      <c r="B56">
        <f>VLOOKUP(A56,[1]Hits!A$1:D$206,4,0)</f>
        <v>91</v>
      </c>
      <c r="C56">
        <f t="shared" si="3"/>
        <v>18273</v>
      </c>
      <c r="D56" s="3">
        <f t="shared" si="1"/>
        <v>78.586788233270255</v>
      </c>
      <c r="E56" t="str">
        <f t="shared" si="2"/>
        <v>B</v>
      </c>
    </row>
    <row r="57" spans="1:5" x14ac:dyDescent="0.25">
      <c r="A57">
        <v>1174</v>
      </c>
      <c r="B57">
        <f>VLOOKUP(A57,[1]Hits!A$1:D$206,4,0)</f>
        <v>91</v>
      </c>
      <c r="C57">
        <f t="shared" si="3"/>
        <v>18364</v>
      </c>
      <c r="D57" s="3">
        <f t="shared" si="1"/>
        <v>78.97815241699638</v>
      </c>
      <c r="E57" t="str">
        <f t="shared" si="2"/>
        <v>B</v>
      </c>
    </row>
    <row r="58" spans="1:5" x14ac:dyDescent="0.25">
      <c r="A58">
        <v>1040</v>
      </c>
      <c r="B58">
        <f>VLOOKUP(A58,[1]Hits!A$1:D$206,4,0)</f>
        <v>91</v>
      </c>
      <c r="C58">
        <f t="shared" si="3"/>
        <v>18455</v>
      </c>
      <c r="D58" s="3">
        <f t="shared" si="1"/>
        <v>79.36951660072252</v>
      </c>
      <c r="E58" t="str">
        <f t="shared" si="2"/>
        <v>B</v>
      </c>
    </row>
    <row r="59" spans="1:5" x14ac:dyDescent="0.25">
      <c r="A59">
        <v>1210</v>
      </c>
      <c r="B59">
        <f>VLOOKUP(A59,[1]Hits!A$1:D$206,4,0)</f>
        <v>90</v>
      </c>
      <c r="C59">
        <f t="shared" si="3"/>
        <v>18545</v>
      </c>
      <c r="D59" s="3">
        <f t="shared" si="1"/>
        <v>79.756580079132974</v>
      </c>
      <c r="E59" t="str">
        <f t="shared" si="2"/>
        <v>B</v>
      </c>
    </row>
    <row r="60" spans="1:5" x14ac:dyDescent="0.25">
      <c r="A60">
        <v>1199</v>
      </c>
      <c r="B60">
        <f>VLOOKUP(A60,[1]Hits!A$1:D$206,4,0)</f>
        <v>86</v>
      </c>
      <c r="C60">
        <f t="shared" si="3"/>
        <v>18631</v>
      </c>
      <c r="D60" s="3">
        <f t="shared" si="1"/>
        <v>80.126440736280742</v>
      </c>
      <c r="E60" t="str">
        <f t="shared" si="2"/>
        <v>C</v>
      </c>
    </row>
    <row r="61" spans="1:5" x14ac:dyDescent="0.25">
      <c r="A61">
        <v>1195</v>
      </c>
      <c r="B61">
        <f>VLOOKUP(A61,[1]Hits!A$1:D$206,4,0)</f>
        <v>86</v>
      </c>
      <c r="C61">
        <f t="shared" si="3"/>
        <v>18717</v>
      </c>
      <c r="D61" s="3">
        <f t="shared" si="1"/>
        <v>80.496301393428524</v>
      </c>
      <c r="E61" t="str">
        <f t="shared" si="2"/>
        <v>C</v>
      </c>
    </row>
    <row r="62" spans="1:5" x14ac:dyDescent="0.25">
      <c r="A62">
        <v>1172</v>
      </c>
      <c r="B62">
        <f>VLOOKUP(A62,[1]Hits!A$1:D$206,4,0)</f>
        <v>85</v>
      </c>
      <c r="C62">
        <f t="shared" si="3"/>
        <v>18802</v>
      </c>
      <c r="D62" s="3">
        <f t="shared" si="1"/>
        <v>80.861861345260621</v>
      </c>
      <c r="E62" t="str">
        <f t="shared" si="2"/>
        <v>C</v>
      </c>
    </row>
    <row r="63" spans="1:5" x14ac:dyDescent="0.25">
      <c r="A63">
        <v>1181</v>
      </c>
      <c r="B63">
        <f>VLOOKUP(A63,[1]Hits!A$1:D$206,4,0)</f>
        <v>85</v>
      </c>
      <c r="C63">
        <f t="shared" si="3"/>
        <v>18887</v>
      </c>
      <c r="D63" s="3">
        <f t="shared" si="1"/>
        <v>81.227421297092732</v>
      </c>
      <c r="E63" t="str">
        <f t="shared" si="2"/>
        <v>C</v>
      </c>
    </row>
    <row r="64" spans="1:5" x14ac:dyDescent="0.25">
      <c r="A64">
        <v>1189</v>
      </c>
      <c r="B64">
        <f>VLOOKUP(A64,[1]Hits!A$1:D$206,4,0)</f>
        <v>85</v>
      </c>
      <c r="C64">
        <f t="shared" si="3"/>
        <v>18972</v>
      </c>
      <c r="D64" s="3">
        <f t="shared" si="1"/>
        <v>81.592981248924829</v>
      </c>
      <c r="E64" t="str">
        <f t="shared" si="2"/>
        <v>C</v>
      </c>
    </row>
    <row r="65" spans="1:5" x14ac:dyDescent="0.25">
      <c r="A65">
        <v>1057</v>
      </c>
      <c r="B65">
        <f>VLOOKUP(A65,[1]Hits!A$1:D$206,4,0)</f>
        <v>85</v>
      </c>
      <c r="C65">
        <f t="shared" si="3"/>
        <v>19057</v>
      </c>
      <c r="D65" s="3">
        <f t="shared" si="1"/>
        <v>81.958541200756926</v>
      </c>
      <c r="E65" t="str">
        <f t="shared" si="2"/>
        <v>C</v>
      </c>
    </row>
    <row r="66" spans="1:5" x14ac:dyDescent="0.25">
      <c r="A66">
        <v>1055</v>
      </c>
      <c r="B66">
        <f>VLOOKUP(A66,[1]Hits!A$1:D$206,4,0)</f>
        <v>83</v>
      </c>
      <c r="C66">
        <f t="shared" si="3"/>
        <v>19140</v>
      </c>
      <c r="D66" s="3">
        <f t="shared" si="1"/>
        <v>82.31549974195768</v>
      </c>
      <c r="E66" t="str">
        <f t="shared" si="2"/>
        <v>C</v>
      </c>
    </row>
    <row r="67" spans="1:5" x14ac:dyDescent="0.25">
      <c r="A67">
        <v>1191</v>
      </c>
      <c r="B67">
        <f>VLOOKUP(A67,[1]Hits!A$1:D$206,4,0)</f>
        <v>83</v>
      </c>
      <c r="C67">
        <f t="shared" si="3"/>
        <v>19223</v>
      </c>
      <c r="D67" s="3">
        <f t="shared" ref="D67:D130" si="4">C67/$C$206*100</f>
        <v>82.672458283158434</v>
      </c>
      <c r="E67" t="str">
        <f t="shared" ref="E67:E130" si="5">IF(D67 &lt;= 60, "A", IF(D67 &lt;= 80, "B", IF(D67 &lt;= 90, "C", "D")))</f>
        <v>C</v>
      </c>
    </row>
    <row r="68" spans="1:5" x14ac:dyDescent="0.25">
      <c r="A68">
        <v>1197</v>
      </c>
      <c r="B68">
        <f>VLOOKUP(A68,[1]Hits!A$1:D$206,4,0)</f>
        <v>82</v>
      </c>
      <c r="C68">
        <f t="shared" si="3"/>
        <v>19305</v>
      </c>
      <c r="D68" s="3">
        <f t="shared" si="4"/>
        <v>83.025116119043517</v>
      </c>
      <c r="E68" t="str">
        <f t="shared" si="5"/>
        <v>C</v>
      </c>
    </row>
    <row r="69" spans="1:5" x14ac:dyDescent="0.25">
      <c r="A69">
        <v>1051</v>
      </c>
      <c r="B69">
        <f>VLOOKUP(A69,[1]Hits!A$1:D$206,4,0)</f>
        <v>82</v>
      </c>
      <c r="C69">
        <f t="shared" si="3"/>
        <v>19387</v>
      </c>
      <c r="D69" s="3">
        <f t="shared" si="4"/>
        <v>83.377773954928614</v>
      </c>
      <c r="E69" t="str">
        <f t="shared" si="5"/>
        <v>C</v>
      </c>
    </row>
    <row r="70" spans="1:5" x14ac:dyDescent="0.25">
      <c r="A70">
        <v>1031</v>
      </c>
      <c r="B70">
        <f>VLOOKUP(A70,[1]Hits!A$1:D$206,4,0)</f>
        <v>82</v>
      </c>
      <c r="C70">
        <f t="shared" si="3"/>
        <v>19469</v>
      </c>
      <c r="D70" s="3">
        <f t="shared" si="4"/>
        <v>83.730431790813697</v>
      </c>
      <c r="E70" t="str">
        <f t="shared" si="5"/>
        <v>C</v>
      </c>
    </row>
    <row r="71" spans="1:5" x14ac:dyDescent="0.25">
      <c r="A71">
        <v>1036</v>
      </c>
      <c r="B71">
        <f>VLOOKUP(A71,[1]Hits!A$1:D$206,4,0)</f>
        <v>81</v>
      </c>
      <c r="C71">
        <f t="shared" si="3"/>
        <v>19550</v>
      </c>
      <c r="D71" s="3">
        <f t="shared" si="4"/>
        <v>84.078788921383108</v>
      </c>
      <c r="E71" t="str">
        <f t="shared" si="5"/>
        <v>C</v>
      </c>
    </row>
    <row r="72" spans="1:5" x14ac:dyDescent="0.25">
      <c r="A72">
        <v>1209</v>
      </c>
      <c r="B72">
        <f>VLOOKUP(A72,[1]Hits!A$1:D$206,4,0)</f>
        <v>81</v>
      </c>
      <c r="C72">
        <f t="shared" si="3"/>
        <v>19631</v>
      </c>
      <c r="D72" s="3">
        <f t="shared" si="4"/>
        <v>84.427146051952519</v>
      </c>
      <c r="E72" t="str">
        <f t="shared" si="5"/>
        <v>C</v>
      </c>
    </row>
    <row r="73" spans="1:5" x14ac:dyDescent="0.25">
      <c r="A73">
        <v>1202</v>
      </c>
      <c r="B73">
        <f>VLOOKUP(A73,[1]Hits!A$1:D$206,4,0)</f>
        <v>80</v>
      </c>
      <c r="C73">
        <f t="shared" si="3"/>
        <v>19711</v>
      </c>
      <c r="D73" s="3">
        <f t="shared" si="4"/>
        <v>84.771202477206259</v>
      </c>
      <c r="E73" t="str">
        <f t="shared" si="5"/>
        <v>C</v>
      </c>
    </row>
    <row r="74" spans="1:5" x14ac:dyDescent="0.25">
      <c r="A74">
        <v>1060</v>
      </c>
      <c r="B74">
        <f>VLOOKUP(A74,[1]Hits!A$1:D$206,4,0)</f>
        <v>80</v>
      </c>
      <c r="C74">
        <f t="shared" si="3"/>
        <v>19791</v>
      </c>
      <c r="D74" s="3">
        <f t="shared" si="4"/>
        <v>85.115258902459999</v>
      </c>
      <c r="E74" t="str">
        <f t="shared" si="5"/>
        <v>C</v>
      </c>
    </row>
    <row r="75" spans="1:5" x14ac:dyDescent="0.25">
      <c r="A75">
        <v>1161</v>
      </c>
      <c r="B75">
        <f>VLOOKUP(A75,[1]Hits!A$1:D$206,4,0)</f>
        <v>79</v>
      </c>
      <c r="C75">
        <f t="shared" si="3"/>
        <v>19870</v>
      </c>
      <c r="D75" s="3">
        <f t="shared" si="4"/>
        <v>85.455014622398068</v>
      </c>
      <c r="E75" t="str">
        <f t="shared" si="5"/>
        <v>C</v>
      </c>
    </row>
    <row r="76" spans="1:5" x14ac:dyDescent="0.25">
      <c r="A76">
        <v>1046</v>
      </c>
      <c r="B76">
        <f>VLOOKUP(A76,[1]Hits!A$1:D$206,4,0)</f>
        <v>79</v>
      </c>
      <c r="C76">
        <f t="shared" si="3"/>
        <v>19949</v>
      </c>
      <c r="D76" s="3">
        <f t="shared" si="4"/>
        <v>85.79477034233615</v>
      </c>
      <c r="E76" t="str">
        <f t="shared" si="5"/>
        <v>C</v>
      </c>
    </row>
    <row r="77" spans="1:5" x14ac:dyDescent="0.25">
      <c r="A77">
        <v>1206</v>
      </c>
      <c r="B77">
        <f>VLOOKUP(A77,[1]Hits!A$1:D$206,4,0)</f>
        <v>78</v>
      </c>
      <c r="C77">
        <f t="shared" si="3"/>
        <v>20027</v>
      </c>
      <c r="D77" s="3">
        <f t="shared" si="4"/>
        <v>86.130225356958547</v>
      </c>
      <c r="E77" t="str">
        <f t="shared" si="5"/>
        <v>C</v>
      </c>
    </row>
    <row r="78" spans="1:5" x14ac:dyDescent="0.25">
      <c r="A78">
        <v>1185</v>
      </c>
      <c r="B78">
        <f>VLOOKUP(A78,[1]Hits!A$1:D$206,4,0)</f>
        <v>78</v>
      </c>
      <c r="C78">
        <f t="shared" si="3"/>
        <v>20105</v>
      </c>
      <c r="D78" s="3">
        <f t="shared" si="4"/>
        <v>86.465680371580945</v>
      </c>
      <c r="E78" t="str">
        <f t="shared" si="5"/>
        <v>C</v>
      </c>
    </row>
    <row r="79" spans="1:5" x14ac:dyDescent="0.25">
      <c r="A79">
        <v>1038</v>
      </c>
      <c r="B79">
        <f>VLOOKUP(A79,[1]Hits!A$1:D$206,4,0)</f>
        <v>77</v>
      </c>
      <c r="C79">
        <f t="shared" si="3"/>
        <v>20182</v>
      </c>
      <c r="D79" s="3">
        <f t="shared" si="4"/>
        <v>86.79683468088767</v>
      </c>
      <c r="E79" t="str">
        <f t="shared" si="5"/>
        <v>C</v>
      </c>
    </row>
    <row r="80" spans="1:5" x14ac:dyDescent="0.25">
      <c r="A80">
        <v>1157</v>
      </c>
      <c r="B80">
        <f>VLOOKUP(A80,[1]Hits!A$1:D$206,4,0)</f>
        <v>76</v>
      </c>
      <c r="C80">
        <f t="shared" si="3"/>
        <v>20258</v>
      </c>
      <c r="D80" s="3">
        <f t="shared" si="4"/>
        <v>87.123688284878725</v>
      </c>
      <c r="E80" t="str">
        <f t="shared" si="5"/>
        <v>C</v>
      </c>
    </row>
    <row r="81" spans="1:5" x14ac:dyDescent="0.25">
      <c r="A81">
        <v>1180</v>
      </c>
      <c r="B81">
        <f>VLOOKUP(A81,[1]Hits!A$1:D$206,4,0)</f>
        <v>75</v>
      </c>
      <c r="C81">
        <f t="shared" si="3"/>
        <v>20333</v>
      </c>
      <c r="D81" s="3">
        <f t="shared" si="4"/>
        <v>87.446241183554108</v>
      </c>
      <c r="E81" t="str">
        <f t="shared" si="5"/>
        <v>C</v>
      </c>
    </row>
    <row r="82" spans="1:5" x14ac:dyDescent="0.25">
      <c r="A82">
        <v>1035</v>
      </c>
      <c r="B82">
        <f>VLOOKUP(A82,[1]Hits!A$1:D$206,4,0)</f>
        <v>75</v>
      </c>
      <c r="C82">
        <f t="shared" si="3"/>
        <v>20408</v>
      </c>
      <c r="D82" s="3">
        <f t="shared" si="4"/>
        <v>87.768794082229491</v>
      </c>
      <c r="E82" t="str">
        <f t="shared" si="5"/>
        <v>C</v>
      </c>
    </row>
    <row r="83" spans="1:5" x14ac:dyDescent="0.25">
      <c r="A83">
        <v>1052</v>
      </c>
      <c r="B83">
        <f>VLOOKUP(A83,[1]Hits!A$1:D$206,4,0)</f>
        <v>75</v>
      </c>
      <c r="C83">
        <f t="shared" si="3"/>
        <v>20483</v>
      </c>
      <c r="D83" s="3">
        <f t="shared" si="4"/>
        <v>88.091346980904873</v>
      </c>
      <c r="E83" t="str">
        <f t="shared" si="5"/>
        <v>C</v>
      </c>
    </row>
    <row r="84" spans="1:5" x14ac:dyDescent="0.25">
      <c r="A84">
        <v>1039</v>
      </c>
      <c r="B84">
        <f>VLOOKUP(A84,[1]Hits!A$1:D$206,4,0)</f>
        <v>74</v>
      </c>
      <c r="C84">
        <f t="shared" si="3"/>
        <v>20557</v>
      </c>
      <c r="D84" s="3">
        <f t="shared" si="4"/>
        <v>88.409599174264571</v>
      </c>
      <c r="E84" t="str">
        <f t="shared" si="5"/>
        <v>C</v>
      </c>
    </row>
    <row r="85" spans="1:5" x14ac:dyDescent="0.25">
      <c r="A85">
        <v>1033</v>
      </c>
      <c r="B85">
        <f>VLOOKUP(A85,[1]Hits!A$1:D$206,4,0)</f>
        <v>74</v>
      </c>
      <c r="C85">
        <f t="shared" si="3"/>
        <v>20631</v>
      </c>
      <c r="D85" s="3">
        <f t="shared" si="4"/>
        <v>88.727851367624282</v>
      </c>
      <c r="E85" t="str">
        <f t="shared" si="5"/>
        <v>C</v>
      </c>
    </row>
    <row r="86" spans="1:5" x14ac:dyDescent="0.25">
      <c r="A86">
        <v>1030</v>
      </c>
      <c r="B86">
        <f>VLOOKUP(A86,[1]Hits!A$1:D$206,4,0)</f>
        <v>74</v>
      </c>
      <c r="C86">
        <f t="shared" si="3"/>
        <v>20705</v>
      </c>
      <c r="D86" s="3">
        <f t="shared" si="4"/>
        <v>89.046103560984008</v>
      </c>
      <c r="E86" t="str">
        <f t="shared" si="5"/>
        <v>C</v>
      </c>
    </row>
    <row r="87" spans="1:5" x14ac:dyDescent="0.25">
      <c r="A87">
        <v>1034</v>
      </c>
      <c r="B87">
        <f>VLOOKUP(A87,[1]Hits!A$1:D$206,4,0)</f>
        <v>72</v>
      </c>
      <c r="C87">
        <f t="shared" si="3"/>
        <v>20777</v>
      </c>
      <c r="D87" s="3">
        <f t="shared" si="4"/>
        <v>89.355754343712363</v>
      </c>
      <c r="E87" t="str">
        <f t="shared" si="5"/>
        <v>C</v>
      </c>
    </row>
    <row r="88" spans="1:5" x14ac:dyDescent="0.25">
      <c r="A88">
        <v>1054</v>
      </c>
      <c r="B88">
        <f>VLOOKUP(A88,[1]Hits!A$1:D$206,4,0)</f>
        <v>71</v>
      </c>
      <c r="C88">
        <f t="shared" si="3"/>
        <v>20848</v>
      </c>
      <c r="D88" s="3">
        <f t="shared" si="4"/>
        <v>89.66110442112506</v>
      </c>
      <c r="E88" t="str">
        <f t="shared" si="5"/>
        <v>C</v>
      </c>
    </row>
    <row r="89" spans="1:5" x14ac:dyDescent="0.25">
      <c r="A89">
        <v>1212</v>
      </c>
      <c r="B89">
        <f>VLOOKUP(A89,[1]Hits!A$1:D$206,4,0)</f>
        <v>71</v>
      </c>
      <c r="C89">
        <f t="shared" si="3"/>
        <v>20919</v>
      </c>
      <c r="D89" s="3">
        <f t="shared" si="4"/>
        <v>89.966454498537757</v>
      </c>
      <c r="E89" t="str">
        <f t="shared" si="5"/>
        <v>C</v>
      </c>
    </row>
    <row r="90" spans="1:5" x14ac:dyDescent="0.25">
      <c r="A90">
        <v>1053</v>
      </c>
      <c r="B90">
        <f>VLOOKUP(A90,[1]Hits!A$1:D$206,4,0)</f>
        <v>71</v>
      </c>
      <c r="C90">
        <f t="shared" si="3"/>
        <v>20990</v>
      </c>
      <c r="D90" s="3">
        <f t="shared" si="4"/>
        <v>90.271804575950455</v>
      </c>
      <c r="E90" t="str">
        <f t="shared" si="5"/>
        <v>D</v>
      </c>
    </row>
    <row r="91" spans="1:5" x14ac:dyDescent="0.25">
      <c r="A91">
        <v>1153</v>
      </c>
      <c r="B91">
        <f>VLOOKUP(A91,[1]Hits!A$1:D$206,4,0)</f>
        <v>68</v>
      </c>
      <c r="C91">
        <f t="shared" si="3"/>
        <v>21058</v>
      </c>
      <c r="D91" s="3">
        <f t="shared" si="4"/>
        <v>90.564252537416138</v>
      </c>
      <c r="E91" t="str">
        <f t="shared" si="5"/>
        <v>D</v>
      </c>
    </row>
    <row r="92" spans="1:5" x14ac:dyDescent="0.25">
      <c r="A92">
        <v>1158</v>
      </c>
      <c r="B92">
        <f>VLOOKUP(A92,[1]Hits!A$1:D$206,4,0)</f>
        <v>67</v>
      </c>
      <c r="C92">
        <f t="shared" si="3"/>
        <v>21125</v>
      </c>
      <c r="D92" s="3">
        <f t="shared" si="4"/>
        <v>90.852399793566136</v>
      </c>
      <c r="E92" t="str">
        <f t="shared" si="5"/>
        <v>D</v>
      </c>
    </row>
    <row r="93" spans="1:5" x14ac:dyDescent="0.25">
      <c r="A93">
        <v>1059</v>
      </c>
      <c r="B93">
        <f>VLOOKUP(A93,[1]Hits!A$1:D$206,4,0)</f>
        <v>67</v>
      </c>
      <c r="C93">
        <f t="shared" si="3"/>
        <v>21192</v>
      </c>
      <c r="D93" s="3">
        <f t="shared" si="4"/>
        <v>91.140547049716162</v>
      </c>
      <c r="E93" t="str">
        <f t="shared" si="5"/>
        <v>D</v>
      </c>
    </row>
    <row r="94" spans="1:5" x14ac:dyDescent="0.25">
      <c r="A94">
        <v>1184</v>
      </c>
      <c r="B94">
        <f>VLOOKUP(A94,[1]Hits!A$1:D$206,4,0)</f>
        <v>66</v>
      </c>
      <c r="C94">
        <f t="shared" si="3"/>
        <v>21258</v>
      </c>
      <c r="D94" s="3">
        <f t="shared" si="4"/>
        <v>91.424393600550488</v>
      </c>
      <c r="E94" t="str">
        <f t="shared" si="5"/>
        <v>D</v>
      </c>
    </row>
    <row r="95" spans="1:5" x14ac:dyDescent="0.25">
      <c r="A95">
        <v>1188</v>
      </c>
      <c r="B95">
        <f>VLOOKUP(A95,[1]Hits!A$1:D$206,4,0)</f>
        <v>66</v>
      </c>
      <c r="C95">
        <f t="shared" si="3"/>
        <v>21324</v>
      </c>
      <c r="D95" s="3">
        <f t="shared" si="4"/>
        <v>91.708240151384828</v>
      </c>
      <c r="E95" t="str">
        <f t="shared" si="5"/>
        <v>D</v>
      </c>
    </row>
    <row r="96" spans="1:5" x14ac:dyDescent="0.25">
      <c r="A96">
        <v>1032</v>
      </c>
      <c r="B96">
        <f>VLOOKUP(A96,[1]Hits!A$1:D$206,4,0)</f>
        <v>64</v>
      </c>
      <c r="C96">
        <f t="shared" si="3"/>
        <v>21388</v>
      </c>
      <c r="D96" s="3">
        <f t="shared" si="4"/>
        <v>91.983485291587812</v>
      </c>
      <c r="E96" t="str">
        <f t="shared" si="5"/>
        <v>D</v>
      </c>
    </row>
    <row r="97" spans="1:5" x14ac:dyDescent="0.25">
      <c r="A97">
        <v>1190</v>
      </c>
      <c r="B97">
        <f>VLOOKUP(A97,[1]Hits!A$1:D$206,4,0)</f>
        <v>63</v>
      </c>
      <c r="C97">
        <f t="shared" si="3"/>
        <v>21451</v>
      </c>
      <c r="D97" s="3">
        <f t="shared" si="4"/>
        <v>92.254429726475138</v>
      </c>
      <c r="E97" t="str">
        <f t="shared" si="5"/>
        <v>D</v>
      </c>
    </row>
    <row r="98" spans="1:5" x14ac:dyDescent="0.25">
      <c r="A98">
        <v>1058</v>
      </c>
      <c r="B98">
        <f>VLOOKUP(A98,[1]Hits!A$1:D$206,4,0)</f>
        <v>63</v>
      </c>
      <c r="C98">
        <f t="shared" si="3"/>
        <v>21514</v>
      </c>
      <c r="D98" s="3">
        <f t="shared" si="4"/>
        <v>92.525374161362464</v>
      </c>
      <c r="E98" t="str">
        <f t="shared" si="5"/>
        <v>D</v>
      </c>
    </row>
    <row r="99" spans="1:5" x14ac:dyDescent="0.25">
      <c r="A99">
        <v>1208</v>
      </c>
      <c r="B99">
        <f>VLOOKUP(A99,[1]Hits!A$1:D$206,4,0)</f>
        <v>61</v>
      </c>
      <c r="C99">
        <f t="shared" si="3"/>
        <v>21575</v>
      </c>
      <c r="D99" s="3">
        <f t="shared" si="4"/>
        <v>92.787717185618448</v>
      </c>
      <c r="E99" t="str">
        <f t="shared" si="5"/>
        <v>D</v>
      </c>
    </row>
    <row r="100" spans="1:5" x14ac:dyDescent="0.25">
      <c r="A100">
        <v>1037</v>
      </c>
      <c r="B100">
        <f>VLOOKUP(A100,[1]Hits!A$1:D$206,4,0)</f>
        <v>55</v>
      </c>
      <c r="C100">
        <f t="shared" si="3"/>
        <v>21630</v>
      </c>
      <c r="D100" s="3">
        <f t="shared" si="4"/>
        <v>93.024255977980388</v>
      </c>
      <c r="E100" t="str">
        <f t="shared" si="5"/>
        <v>D</v>
      </c>
    </row>
    <row r="101" spans="1:5" x14ac:dyDescent="0.25">
      <c r="A101">
        <v>1061</v>
      </c>
      <c r="B101">
        <f>VLOOKUP(A101,[1]Hits!A$1:D$206,4,0)</f>
        <v>55</v>
      </c>
      <c r="C101">
        <f t="shared" si="3"/>
        <v>21685</v>
      </c>
      <c r="D101" s="3">
        <f t="shared" si="4"/>
        <v>93.260794770342343</v>
      </c>
      <c r="E101" t="str">
        <f t="shared" si="5"/>
        <v>D</v>
      </c>
    </row>
    <row r="102" spans="1:5" x14ac:dyDescent="0.25">
      <c r="A102">
        <v>1070</v>
      </c>
      <c r="B102">
        <f>VLOOKUP(A102,[1]Hits!A$1:D$206,4,0)</f>
        <v>52</v>
      </c>
      <c r="C102">
        <f t="shared" si="3"/>
        <v>21737</v>
      </c>
      <c r="D102" s="3">
        <f t="shared" si="4"/>
        <v>93.48443144675727</v>
      </c>
      <c r="E102" t="str">
        <f t="shared" si="5"/>
        <v>D</v>
      </c>
    </row>
    <row r="103" spans="1:5" x14ac:dyDescent="0.25">
      <c r="A103">
        <v>1065</v>
      </c>
      <c r="B103">
        <f>VLOOKUP(A103,[1]Hits!A$1:D$206,4,0)</f>
        <v>51</v>
      </c>
      <c r="C103">
        <f t="shared" si="3"/>
        <v>21788</v>
      </c>
      <c r="D103" s="3">
        <f t="shared" si="4"/>
        <v>93.703767417856525</v>
      </c>
      <c r="E103" t="str">
        <f t="shared" si="5"/>
        <v>D</v>
      </c>
    </row>
    <row r="104" spans="1:5" x14ac:dyDescent="0.25">
      <c r="A104">
        <v>1056</v>
      </c>
      <c r="B104">
        <f>VLOOKUP(A104,[1]Hits!A$1:D$206,4,0)</f>
        <v>50</v>
      </c>
      <c r="C104">
        <f t="shared" si="3"/>
        <v>21838</v>
      </c>
      <c r="D104" s="3">
        <f t="shared" si="4"/>
        <v>93.918802683640109</v>
      </c>
      <c r="E104" t="str">
        <f t="shared" si="5"/>
        <v>D</v>
      </c>
    </row>
    <row r="105" spans="1:5" x14ac:dyDescent="0.25">
      <c r="A105">
        <v>1068</v>
      </c>
      <c r="B105">
        <f>VLOOKUP(A105,[1]Hits!A$1:D$206,4,0)</f>
        <v>49</v>
      </c>
      <c r="C105">
        <f t="shared" si="3"/>
        <v>21887</v>
      </c>
      <c r="D105" s="3">
        <f t="shared" si="4"/>
        <v>94.129537244108036</v>
      </c>
      <c r="E105" t="str">
        <f t="shared" si="5"/>
        <v>D</v>
      </c>
    </row>
    <row r="106" spans="1:5" x14ac:dyDescent="0.25">
      <c r="A106">
        <v>1063</v>
      </c>
      <c r="B106">
        <f>VLOOKUP(A106,[1]Hits!A$1:D$206,4,0)</f>
        <v>49</v>
      </c>
      <c r="C106">
        <f t="shared" si="3"/>
        <v>21936</v>
      </c>
      <c r="D106" s="3">
        <f t="shared" si="4"/>
        <v>94.340271804575949</v>
      </c>
      <c r="E106" t="str">
        <f t="shared" si="5"/>
        <v>D</v>
      </c>
    </row>
    <row r="107" spans="1:5" x14ac:dyDescent="0.25">
      <c r="A107">
        <v>1069</v>
      </c>
      <c r="B107">
        <f>VLOOKUP(A107,[1]Hits!A$1:D$206,4,0)</f>
        <v>48</v>
      </c>
      <c r="C107">
        <f t="shared" si="3"/>
        <v>21984</v>
      </c>
      <c r="D107" s="3">
        <f t="shared" si="4"/>
        <v>94.54670565972819</v>
      </c>
      <c r="E107" t="str">
        <f t="shared" si="5"/>
        <v>D</v>
      </c>
    </row>
    <row r="108" spans="1:5" x14ac:dyDescent="0.25">
      <c r="A108">
        <v>1067</v>
      </c>
      <c r="B108">
        <f>VLOOKUP(A108,[1]Hits!A$1:D$206,4,0)</f>
        <v>48</v>
      </c>
      <c r="C108">
        <f t="shared" si="3"/>
        <v>22032</v>
      </c>
      <c r="D108" s="3">
        <f t="shared" si="4"/>
        <v>94.753139514880431</v>
      </c>
      <c r="E108" t="str">
        <f t="shared" si="5"/>
        <v>D</v>
      </c>
    </row>
    <row r="109" spans="1:5" x14ac:dyDescent="0.25">
      <c r="A109">
        <v>1064</v>
      </c>
      <c r="B109">
        <f>VLOOKUP(A109,[1]Hits!A$1:D$206,4,0)</f>
        <v>46</v>
      </c>
      <c r="C109">
        <f t="shared" si="3"/>
        <v>22078</v>
      </c>
      <c r="D109" s="3">
        <f t="shared" si="4"/>
        <v>94.950971959401343</v>
      </c>
      <c r="E109" t="str">
        <f t="shared" si="5"/>
        <v>D</v>
      </c>
    </row>
    <row r="110" spans="1:5" x14ac:dyDescent="0.25">
      <c r="A110">
        <v>1062</v>
      </c>
      <c r="B110">
        <f>VLOOKUP(A110,[1]Hits!A$1:D$206,4,0)</f>
        <v>45</v>
      </c>
      <c r="C110">
        <f t="shared" si="3"/>
        <v>22123</v>
      </c>
      <c r="D110" s="3">
        <f t="shared" si="4"/>
        <v>95.14450369860657</v>
      </c>
      <c r="E110" t="str">
        <f t="shared" si="5"/>
        <v>D</v>
      </c>
    </row>
    <row r="111" spans="1:5" x14ac:dyDescent="0.25">
      <c r="A111">
        <v>1131</v>
      </c>
      <c r="B111">
        <f>VLOOKUP(A111,[1]Hits!A$1:D$206,4,0)</f>
        <v>43</v>
      </c>
      <c r="C111">
        <f t="shared" ref="C111:C174" si="6">B111+C110</f>
        <v>22166</v>
      </c>
      <c r="D111" s="3">
        <f t="shared" si="4"/>
        <v>95.329434027180454</v>
      </c>
      <c r="E111" t="str">
        <f t="shared" si="5"/>
        <v>D</v>
      </c>
    </row>
    <row r="112" spans="1:5" x14ac:dyDescent="0.25">
      <c r="A112">
        <v>1025</v>
      </c>
      <c r="B112">
        <f>VLOOKUP(A112,[1]Hits!A$1:D$206,4,0)</f>
        <v>41</v>
      </c>
      <c r="C112">
        <f t="shared" si="6"/>
        <v>22207</v>
      </c>
      <c r="D112" s="3">
        <f t="shared" si="4"/>
        <v>95.505762945122996</v>
      </c>
      <c r="E112" t="str">
        <f t="shared" si="5"/>
        <v>D</v>
      </c>
    </row>
    <row r="113" spans="1:5" x14ac:dyDescent="0.25">
      <c r="A113">
        <v>1133</v>
      </c>
      <c r="B113">
        <f>VLOOKUP(A113,[1]Hits!A$1:D$206,4,0)</f>
        <v>39</v>
      </c>
      <c r="C113">
        <f t="shared" si="6"/>
        <v>22246</v>
      </c>
      <c r="D113" s="3">
        <f t="shared" si="4"/>
        <v>95.673490452434194</v>
      </c>
      <c r="E113" t="str">
        <f t="shared" si="5"/>
        <v>D</v>
      </c>
    </row>
    <row r="114" spans="1:5" x14ac:dyDescent="0.25">
      <c r="A114">
        <v>1021</v>
      </c>
      <c r="B114">
        <f>VLOOKUP(A114,[1]Hits!A$1:D$206,4,0)</f>
        <v>38</v>
      </c>
      <c r="C114">
        <f t="shared" si="6"/>
        <v>22284</v>
      </c>
      <c r="D114" s="3">
        <f t="shared" si="4"/>
        <v>95.836917254429721</v>
      </c>
      <c r="E114" t="str">
        <f t="shared" si="5"/>
        <v>D</v>
      </c>
    </row>
    <row r="115" spans="1:5" x14ac:dyDescent="0.25">
      <c r="A115">
        <v>1020</v>
      </c>
      <c r="B115">
        <f>VLOOKUP(A115,[1]Hits!A$1:D$206,4,0)</f>
        <v>36</v>
      </c>
      <c r="C115">
        <f t="shared" si="6"/>
        <v>22320</v>
      </c>
      <c r="D115" s="3">
        <f t="shared" si="4"/>
        <v>95.991742645793906</v>
      </c>
      <c r="E115" t="str">
        <f t="shared" si="5"/>
        <v>D</v>
      </c>
    </row>
    <row r="116" spans="1:5" x14ac:dyDescent="0.25">
      <c r="A116">
        <v>1066</v>
      </c>
      <c r="B116">
        <f>VLOOKUP(A116,[1]Hits!A$1:D$206,4,0)</f>
        <v>35</v>
      </c>
      <c r="C116">
        <f t="shared" si="6"/>
        <v>22355</v>
      </c>
      <c r="D116" s="3">
        <f t="shared" si="4"/>
        <v>96.142267331842419</v>
      </c>
      <c r="E116" t="str">
        <f t="shared" si="5"/>
        <v>D</v>
      </c>
    </row>
    <row r="117" spans="1:5" x14ac:dyDescent="0.25">
      <c r="A117">
        <v>1029</v>
      </c>
      <c r="B117">
        <f>VLOOKUP(A117,[1]Hits!A$1:D$206,4,0)</f>
        <v>34</v>
      </c>
      <c r="C117">
        <f t="shared" si="6"/>
        <v>22389</v>
      </c>
      <c r="D117" s="3">
        <f t="shared" si="4"/>
        <v>96.28849131257526</v>
      </c>
      <c r="E117" t="str">
        <f t="shared" si="5"/>
        <v>D</v>
      </c>
    </row>
    <row r="118" spans="1:5" x14ac:dyDescent="0.25">
      <c r="A118">
        <v>1024</v>
      </c>
      <c r="B118">
        <f>VLOOKUP(A118,[1]Hits!A$1:D$206,4,0)</f>
        <v>34</v>
      </c>
      <c r="C118">
        <f t="shared" si="6"/>
        <v>22423</v>
      </c>
      <c r="D118" s="3">
        <f t="shared" si="4"/>
        <v>96.434715293308102</v>
      </c>
      <c r="E118" t="str">
        <f t="shared" si="5"/>
        <v>D</v>
      </c>
    </row>
    <row r="119" spans="1:5" x14ac:dyDescent="0.25">
      <c r="A119">
        <v>1023</v>
      </c>
      <c r="B119">
        <f>VLOOKUP(A119,[1]Hits!A$1:D$206,4,0)</f>
        <v>32</v>
      </c>
      <c r="C119">
        <f t="shared" si="6"/>
        <v>22455</v>
      </c>
      <c r="D119" s="3">
        <f t="shared" si="4"/>
        <v>96.572337863409601</v>
      </c>
      <c r="E119" t="str">
        <f t="shared" si="5"/>
        <v>D</v>
      </c>
    </row>
    <row r="120" spans="1:5" x14ac:dyDescent="0.25">
      <c r="A120">
        <v>1026</v>
      </c>
      <c r="B120">
        <f>VLOOKUP(A120,[1]Hits!A$1:D$206,4,0)</f>
        <v>31</v>
      </c>
      <c r="C120">
        <f t="shared" si="6"/>
        <v>22486</v>
      </c>
      <c r="D120" s="3">
        <f t="shared" si="4"/>
        <v>96.705659728195428</v>
      </c>
      <c r="E120" t="str">
        <f t="shared" si="5"/>
        <v>D</v>
      </c>
    </row>
    <row r="121" spans="1:5" x14ac:dyDescent="0.25">
      <c r="A121">
        <v>1129</v>
      </c>
      <c r="B121">
        <f>VLOOKUP(A121,[1]Hits!A$1:D$206,4,0)</f>
        <v>28</v>
      </c>
      <c r="C121">
        <f t="shared" si="6"/>
        <v>22514</v>
      </c>
      <c r="D121" s="3">
        <f t="shared" si="4"/>
        <v>96.826079477034227</v>
      </c>
      <c r="E121" t="str">
        <f t="shared" si="5"/>
        <v>D</v>
      </c>
    </row>
    <row r="122" spans="1:5" x14ac:dyDescent="0.25">
      <c r="A122">
        <v>1022</v>
      </c>
      <c r="B122">
        <f>VLOOKUP(A122,[1]Hits!A$1:D$206,4,0)</f>
        <v>28</v>
      </c>
      <c r="C122">
        <f t="shared" si="6"/>
        <v>22542</v>
      </c>
      <c r="D122" s="3">
        <f t="shared" si="4"/>
        <v>96.94649922587304</v>
      </c>
      <c r="E122" t="str">
        <f t="shared" si="5"/>
        <v>D</v>
      </c>
    </row>
    <row r="123" spans="1:5" x14ac:dyDescent="0.25">
      <c r="A123">
        <v>1130</v>
      </c>
      <c r="B123">
        <f>VLOOKUP(A123,[1]Hits!A$1:D$206,4,0)</f>
        <v>27</v>
      </c>
      <c r="C123">
        <f t="shared" si="6"/>
        <v>22569</v>
      </c>
      <c r="D123" s="3">
        <f t="shared" si="4"/>
        <v>97.062618269396182</v>
      </c>
      <c r="E123" t="str">
        <f t="shared" si="5"/>
        <v>D</v>
      </c>
    </row>
    <row r="124" spans="1:5" x14ac:dyDescent="0.25">
      <c r="A124">
        <v>1027</v>
      </c>
      <c r="B124">
        <f>VLOOKUP(A124,[1]Hits!A$1:D$206,4,0)</f>
        <v>27</v>
      </c>
      <c r="C124">
        <f t="shared" si="6"/>
        <v>22596</v>
      </c>
      <c r="D124" s="3">
        <f t="shared" si="4"/>
        <v>97.17873731291931</v>
      </c>
      <c r="E124" t="str">
        <f t="shared" si="5"/>
        <v>D</v>
      </c>
    </row>
    <row r="125" spans="1:5" x14ac:dyDescent="0.25">
      <c r="A125">
        <v>1134</v>
      </c>
      <c r="B125">
        <f>VLOOKUP(A125,[1]Hits!A$1:D$206,4,0)</f>
        <v>25</v>
      </c>
      <c r="C125">
        <f t="shared" si="6"/>
        <v>22621</v>
      </c>
      <c r="D125" s="3">
        <f t="shared" si="4"/>
        <v>97.286254945811109</v>
      </c>
      <c r="E125" t="str">
        <f t="shared" si="5"/>
        <v>D</v>
      </c>
    </row>
    <row r="126" spans="1:5" x14ac:dyDescent="0.25">
      <c r="A126">
        <v>1028</v>
      </c>
      <c r="B126">
        <f>VLOOKUP(A126,[1]Hits!A$1:D$206,4,0)</f>
        <v>24</v>
      </c>
      <c r="C126">
        <f t="shared" si="6"/>
        <v>22645</v>
      </c>
      <c r="D126" s="3">
        <f t="shared" si="4"/>
        <v>97.389471873387237</v>
      </c>
      <c r="E126" t="str">
        <f t="shared" si="5"/>
        <v>D</v>
      </c>
    </row>
    <row r="127" spans="1:5" x14ac:dyDescent="0.25">
      <c r="A127">
        <v>1016</v>
      </c>
      <c r="B127">
        <f>VLOOKUP(A127,[1]Hits!A$1:D$206,4,0)</f>
        <v>24</v>
      </c>
      <c r="C127">
        <f t="shared" si="6"/>
        <v>22669</v>
      </c>
      <c r="D127" s="3">
        <f t="shared" si="4"/>
        <v>97.49268880096335</v>
      </c>
      <c r="E127" t="str">
        <f t="shared" si="5"/>
        <v>D</v>
      </c>
    </row>
    <row r="128" spans="1:5" x14ac:dyDescent="0.25">
      <c r="A128">
        <v>1135</v>
      </c>
      <c r="B128">
        <f>VLOOKUP(A128,[1]Hits!A$1:D$206,4,0)</f>
        <v>23</v>
      </c>
      <c r="C128">
        <f t="shared" si="6"/>
        <v>22692</v>
      </c>
      <c r="D128" s="3">
        <f t="shared" si="4"/>
        <v>97.591605023223806</v>
      </c>
      <c r="E128" t="str">
        <f t="shared" si="5"/>
        <v>D</v>
      </c>
    </row>
    <row r="129" spans="1:5" x14ac:dyDescent="0.25">
      <c r="A129">
        <v>1117</v>
      </c>
      <c r="B129">
        <f>VLOOKUP(A129,[1]Hits!A$1:D$206,4,0)</f>
        <v>23</v>
      </c>
      <c r="C129">
        <f t="shared" si="6"/>
        <v>22715</v>
      </c>
      <c r="D129" s="3">
        <f t="shared" si="4"/>
        <v>97.690521245484263</v>
      </c>
      <c r="E129" t="str">
        <f t="shared" si="5"/>
        <v>D</v>
      </c>
    </row>
    <row r="130" spans="1:5" x14ac:dyDescent="0.25">
      <c r="A130">
        <v>1106</v>
      </c>
      <c r="B130">
        <f>VLOOKUP(A130,[1]Hits!A$1:D$206,4,0)</f>
        <v>23</v>
      </c>
      <c r="C130">
        <f t="shared" si="6"/>
        <v>22738</v>
      </c>
      <c r="D130" s="3">
        <f t="shared" si="4"/>
        <v>97.789437467744705</v>
      </c>
      <c r="E130" t="str">
        <f t="shared" si="5"/>
        <v>D</v>
      </c>
    </row>
    <row r="131" spans="1:5" x14ac:dyDescent="0.25">
      <c r="A131">
        <v>1143</v>
      </c>
      <c r="B131">
        <f>VLOOKUP(A131,[1]Hits!A$1:D$206,4,0)</f>
        <v>23</v>
      </c>
      <c r="C131">
        <f t="shared" si="6"/>
        <v>22761</v>
      </c>
      <c r="D131" s="3">
        <f t="shared" ref="D131:D194" si="7">C131/$C$206*100</f>
        <v>97.888353690005161</v>
      </c>
      <c r="E131" t="str">
        <f t="shared" ref="E131:E194" si="8">IF(D131 &lt;= 60, "A", IF(D131 &lt;= 80, "B", IF(D131 &lt;= 90, "C", "D")))</f>
        <v>D</v>
      </c>
    </row>
    <row r="132" spans="1:5" x14ac:dyDescent="0.25">
      <c r="A132">
        <v>1088</v>
      </c>
      <c r="B132">
        <f>VLOOKUP(A132,[1]Hits!A$1:D$206,4,0)</f>
        <v>23</v>
      </c>
      <c r="C132">
        <f t="shared" si="6"/>
        <v>22784</v>
      </c>
      <c r="D132" s="3">
        <f t="shared" si="7"/>
        <v>97.987269912265603</v>
      </c>
      <c r="E132" t="str">
        <f t="shared" si="8"/>
        <v>D</v>
      </c>
    </row>
    <row r="133" spans="1:5" x14ac:dyDescent="0.25">
      <c r="A133">
        <v>1087</v>
      </c>
      <c r="B133">
        <f>VLOOKUP(A133,[1]Hits!A$1:D$206,4,0)</f>
        <v>23</v>
      </c>
      <c r="C133">
        <f t="shared" si="6"/>
        <v>22807</v>
      </c>
      <c r="D133" s="3">
        <f t="shared" si="7"/>
        <v>98.086186134526059</v>
      </c>
      <c r="E133" t="str">
        <f t="shared" si="8"/>
        <v>D</v>
      </c>
    </row>
    <row r="134" spans="1:5" x14ac:dyDescent="0.25">
      <c r="A134">
        <v>1104</v>
      </c>
      <c r="B134">
        <f>VLOOKUP(A134,[1]Hits!A$1:D$206,4,0)</f>
        <v>23</v>
      </c>
      <c r="C134">
        <f t="shared" si="6"/>
        <v>22830</v>
      </c>
      <c r="D134" s="3">
        <f t="shared" si="7"/>
        <v>98.185102356786516</v>
      </c>
      <c r="E134" t="str">
        <f t="shared" si="8"/>
        <v>D</v>
      </c>
    </row>
    <row r="135" spans="1:5" x14ac:dyDescent="0.25">
      <c r="A135">
        <v>1128</v>
      </c>
      <c r="B135">
        <f>VLOOKUP(A135,[1]Hits!A$1:D$206,4,0)</f>
        <v>22</v>
      </c>
      <c r="C135">
        <f t="shared" si="6"/>
        <v>22852</v>
      </c>
      <c r="D135" s="3">
        <f t="shared" si="7"/>
        <v>98.279717873731286</v>
      </c>
      <c r="E135" t="str">
        <f t="shared" si="8"/>
        <v>D</v>
      </c>
    </row>
    <row r="136" spans="1:5" x14ac:dyDescent="0.25">
      <c r="A136">
        <v>1018</v>
      </c>
      <c r="B136">
        <f>VLOOKUP(A136,[1]Hits!A$1:D$206,4,0)</f>
        <v>21</v>
      </c>
      <c r="C136">
        <f t="shared" si="6"/>
        <v>22873</v>
      </c>
      <c r="D136" s="3">
        <f t="shared" si="7"/>
        <v>98.3700326853604</v>
      </c>
      <c r="E136" t="str">
        <f t="shared" si="8"/>
        <v>D</v>
      </c>
    </row>
    <row r="137" spans="1:5" x14ac:dyDescent="0.25">
      <c r="A137">
        <v>1127</v>
      </c>
      <c r="B137">
        <f>VLOOKUP(A137,[1]Hits!A$1:D$206,4,0)</f>
        <v>20</v>
      </c>
      <c r="C137">
        <f t="shared" si="6"/>
        <v>22893</v>
      </c>
      <c r="D137" s="3">
        <f t="shared" si="7"/>
        <v>98.456046791673828</v>
      </c>
      <c r="E137" t="str">
        <f t="shared" si="8"/>
        <v>D</v>
      </c>
    </row>
    <row r="138" spans="1:5" x14ac:dyDescent="0.25">
      <c r="A138">
        <v>1132</v>
      </c>
      <c r="B138">
        <f>VLOOKUP(A138,[1]Hits!A$1:D$206,4,0)</f>
        <v>19</v>
      </c>
      <c r="C138">
        <f t="shared" si="6"/>
        <v>22912</v>
      </c>
      <c r="D138" s="3">
        <f t="shared" si="7"/>
        <v>98.537760192671598</v>
      </c>
      <c r="E138" t="str">
        <f t="shared" si="8"/>
        <v>D</v>
      </c>
    </row>
    <row r="139" spans="1:5" x14ac:dyDescent="0.25">
      <c r="A139">
        <v>1125</v>
      </c>
      <c r="B139">
        <f>VLOOKUP(A139,[1]Hits!A$1:D$206,4,0)</f>
        <v>18</v>
      </c>
      <c r="C139">
        <f t="shared" si="6"/>
        <v>22930</v>
      </c>
      <c r="D139" s="3">
        <f t="shared" si="7"/>
        <v>98.615172888353683</v>
      </c>
      <c r="E139" t="str">
        <f t="shared" si="8"/>
        <v>D</v>
      </c>
    </row>
    <row r="140" spans="1:5" x14ac:dyDescent="0.25">
      <c r="A140">
        <v>1139</v>
      </c>
      <c r="B140">
        <f>VLOOKUP(A140,[1]Hits!A$1:D$206,4,0)</f>
        <v>18</v>
      </c>
      <c r="C140">
        <f t="shared" si="6"/>
        <v>22948</v>
      </c>
      <c r="D140" s="3">
        <f t="shared" si="7"/>
        <v>98.692585584035783</v>
      </c>
      <c r="E140" t="str">
        <f t="shared" si="8"/>
        <v>D</v>
      </c>
    </row>
    <row r="141" spans="1:5" x14ac:dyDescent="0.25">
      <c r="A141">
        <v>1011</v>
      </c>
      <c r="B141">
        <f>VLOOKUP(A141,[1]Hits!A$1:D$206,4,0)</f>
        <v>17</v>
      </c>
      <c r="C141">
        <f t="shared" si="6"/>
        <v>22965</v>
      </c>
      <c r="D141" s="3">
        <f t="shared" si="7"/>
        <v>98.765697574402196</v>
      </c>
      <c r="E141" t="str">
        <f t="shared" si="8"/>
        <v>D</v>
      </c>
    </row>
    <row r="142" spans="1:5" x14ac:dyDescent="0.25">
      <c r="A142">
        <v>1126</v>
      </c>
      <c r="B142">
        <f>VLOOKUP(A142,[1]Hits!A$1:D$206,4,0)</f>
        <v>16</v>
      </c>
      <c r="C142">
        <f t="shared" si="6"/>
        <v>22981</v>
      </c>
      <c r="D142" s="3">
        <f t="shared" si="7"/>
        <v>98.834508859452953</v>
      </c>
      <c r="E142" t="str">
        <f t="shared" si="8"/>
        <v>D</v>
      </c>
    </row>
    <row r="143" spans="1:5" x14ac:dyDescent="0.25">
      <c r="A143">
        <v>1094</v>
      </c>
      <c r="B143">
        <f>VLOOKUP(A143,[1]Hits!A$1:D$206,4,0)</f>
        <v>16</v>
      </c>
      <c r="C143">
        <f t="shared" si="6"/>
        <v>22997</v>
      </c>
      <c r="D143" s="3">
        <f t="shared" si="7"/>
        <v>98.903320144503709</v>
      </c>
      <c r="E143" t="str">
        <f t="shared" si="8"/>
        <v>D</v>
      </c>
    </row>
    <row r="144" spans="1:5" x14ac:dyDescent="0.25">
      <c r="A144">
        <v>1093</v>
      </c>
      <c r="B144">
        <f>VLOOKUP(A144,[1]Hits!A$1:D$206,4,0)</f>
        <v>15</v>
      </c>
      <c r="C144">
        <f t="shared" si="6"/>
        <v>23012</v>
      </c>
      <c r="D144" s="3">
        <f t="shared" si="7"/>
        <v>98.967830724238766</v>
      </c>
      <c r="E144" t="str">
        <f t="shared" si="8"/>
        <v>D</v>
      </c>
    </row>
    <row r="145" spans="1:5" x14ac:dyDescent="0.25">
      <c r="A145">
        <v>1014</v>
      </c>
      <c r="B145">
        <f>VLOOKUP(A145,[1]Hits!A$1:D$206,4,0)</f>
        <v>15</v>
      </c>
      <c r="C145">
        <f t="shared" si="6"/>
        <v>23027</v>
      </c>
      <c r="D145" s="3">
        <f t="shared" si="7"/>
        <v>99.032341303973851</v>
      </c>
      <c r="E145" t="str">
        <f t="shared" si="8"/>
        <v>D</v>
      </c>
    </row>
    <row r="146" spans="1:5" x14ac:dyDescent="0.25">
      <c r="A146">
        <v>1012</v>
      </c>
      <c r="B146">
        <f>VLOOKUP(A146,[1]Hits!A$1:D$206,4,0)</f>
        <v>14</v>
      </c>
      <c r="C146">
        <f t="shared" si="6"/>
        <v>23041</v>
      </c>
      <c r="D146" s="3">
        <f t="shared" si="7"/>
        <v>99.092551178393251</v>
      </c>
      <c r="E146" t="str">
        <f t="shared" si="8"/>
        <v>D</v>
      </c>
    </row>
    <row r="147" spans="1:5" x14ac:dyDescent="0.25">
      <c r="A147">
        <v>1136</v>
      </c>
      <c r="B147">
        <f>VLOOKUP(A147,[1]Hits!A$1:D$206,4,0)</f>
        <v>13</v>
      </c>
      <c r="C147">
        <f t="shared" si="6"/>
        <v>23054</v>
      </c>
      <c r="D147" s="3">
        <f t="shared" si="7"/>
        <v>99.148460347496993</v>
      </c>
      <c r="E147" t="str">
        <f t="shared" si="8"/>
        <v>D</v>
      </c>
    </row>
    <row r="148" spans="1:5" x14ac:dyDescent="0.25">
      <c r="A148">
        <v>1013</v>
      </c>
      <c r="B148">
        <f>VLOOKUP(A148,[1]Hits!A$1:D$206,4,0)</f>
        <v>13</v>
      </c>
      <c r="C148">
        <f t="shared" si="6"/>
        <v>23067</v>
      </c>
      <c r="D148" s="3">
        <f t="shared" si="7"/>
        <v>99.204369516600721</v>
      </c>
      <c r="E148" t="str">
        <f t="shared" si="8"/>
        <v>D</v>
      </c>
    </row>
    <row r="149" spans="1:5" x14ac:dyDescent="0.25">
      <c r="A149">
        <v>1140</v>
      </c>
      <c r="B149">
        <f>VLOOKUP(A149,[1]Hits!A$1:D$206,4,0)</f>
        <v>12</v>
      </c>
      <c r="C149">
        <f t="shared" si="6"/>
        <v>23079</v>
      </c>
      <c r="D149" s="3">
        <f t="shared" si="7"/>
        <v>99.255977980388792</v>
      </c>
      <c r="E149" t="str">
        <f t="shared" si="8"/>
        <v>D</v>
      </c>
    </row>
    <row r="150" spans="1:5" x14ac:dyDescent="0.25">
      <c r="A150">
        <v>1138</v>
      </c>
      <c r="B150">
        <f>VLOOKUP(A150,[1]Hits!A$1:D$206,4,0)</f>
        <v>12</v>
      </c>
      <c r="C150">
        <f t="shared" si="6"/>
        <v>23091</v>
      </c>
      <c r="D150" s="3">
        <f t="shared" si="7"/>
        <v>99.307586444176849</v>
      </c>
      <c r="E150" t="str">
        <f t="shared" si="8"/>
        <v>D</v>
      </c>
    </row>
    <row r="151" spans="1:5" x14ac:dyDescent="0.25">
      <c r="A151">
        <v>1100</v>
      </c>
      <c r="B151">
        <f>VLOOKUP(A151,[1]Hits!A$1:D$206,4,0)</f>
        <v>9</v>
      </c>
      <c r="C151">
        <f t="shared" si="6"/>
        <v>23100</v>
      </c>
      <c r="D151" s="3">
        <f t="shared" si="7"/>
        <v>99.346292792017891</v>
      </c>
      <c r="E151" t="str">
        <f t="shared" si="8"/>
        <v>D</v>
      </c>
    </row>
    <row r="152" spans="1:5" x14ac:dyDescent="0.25">
      <c r="A152">
        <v>1015</v>
      </c>
      <c r="B152">
        <f>VLOOKUP(A152,[1]Hits!A$1:D$206,4,0)</f>
        <v>9</v>
      </c>
      <c r="C152">
        <f t="shared" si="6"/>
        <v>23109</v>
      </c>
      <c r="D152" s="3">
        <f t="shared" si="7"/>
        <v>99.384999139858934</v>
      </c>
      <c r="E152" t="str">
        <f t="shared" si="8"/>
        <v>D</v>
      </c>
    </row>
    <row r="153" spans="1:5" x14ac:dyDescent="0.25">
      <c r="A153">
        <v>1017</v>
      </c>
      <c r="B153">
        <f>VLOOKUP(A153,[1]Hits!A$1:D$206,4,0)</f>
        <v>8</v>
      </c>
      <c r="C153">
        <f t="shared" si="6"/>
        <v>23117</v>
      </c>
      <c r="D153" s="3">
        <f t="shared" si="7"/>
        <v>99.419404782384319</v>
      </c>
      <c r="E153" t="str">
        <f t="shared" si="8"/>
        <v>D</v>
      </c>
    </row>
    <row r="154" spans="1:5" x14ac:dyDescent="0.25">
      <c r="A154">
        <v>1019</v>
      </c>
      <c r="B154">
        <f>VLOOKUP(A154,[1]Hits!A$1:D$206,4,0)</f>
        <v>7</v>
      </c>
      <c r="C154">
        <f t="shared" si="6"/>
        <v>23124</v>
      </c>
      <c r="D154" s="3">
        <f t="shared" si="7"/>
        <v>99.449509719594005</v>
      </c>
      <c r="E154" t="str">
        <f t="shared" si="8"/>
        <v>D</v>
      </c>
    </row>
    <row r="155" spans="1:5" x14ac:dyDescent="0.25">
      <c r="A155">
        <v>1099</v>
      </c>
      <c r="B155">
        <f>VLOOKUP(A155,[1]Hits!A$1:D$206,4,0)</f>
        <v>6</v>
      </c>
      <c r="C155">
        <f t="shared" si="6"/>
        <v>23130</v>
      </c>
      <c r="D155" s="3">
        <f t="shared" si="7"/>
        <v>99.475313951488047</v>
      </c>
      <c r="E155" t="str">
        <f t="shared" si="8"/>
        <v>D</v>
      </c>
    </row>
    <row r="156" spans="1:5" x14ac:dyDescent="0.25">
      <c r="A156">
        <v>1089</v>
      </c>
      <c r="B156">
        <f>VLOOKUP(A156,[1]Hits!A$1:D$206,4,0)</f>
        <v>6</v>
      </c>
      <c r="C156">
        <f t="shared" si="6"/>
        <v>23136</v>
      </c>
      <c r="D156" s="3">
        <f t="shared" si="7"/>
        <v>99.501118183382076</v>
      </c>
      <c r="E156" t="str">
        <f t="shared" si="8"/>
        <v>D</v>
      </c>
    </row>
    <row r="157" spans="1:5" x14ac:dyDescent="0.25">
      <c r="A157">
        <v>1095</v>
      </c>
      <c r="B157">
        <f>VLOOKUP(A157,[1]Hits!A$1:D$206,4,0)</f>
        <v>6</v>
      </c>
      <c r="C157">
        <f t="shared" si="6"/>
        <v>23142</v>
      </c>
      <c r="D157" s="3">
        <f t="shared" si="7"/>
        <v>99.526922415276104</v>
      </c>
      <c r="E157" t="str">
        <f t="shared" si="8"/>
        <v>D</v>
      </c>
    </row>
    <row r="158" spans="1:5" x14ac:dyDescent="0.25">
      <c r="A158">
        <v>1096</v>
      </c>
      <c r="B158">
        <f>VLOOKUP(A158,[1]Hits!A$1:D$206,4,0)</f>
        <v>5</v>
      </c>
      <c r="C158">
        <f t="shared" si="6"/>
        <v>23147</v>
      </c>
      <c r="D158" s="3">
        <f t="shared" si="7"/>
        <v>99.548425941854475</v>
      </c>
      <c r="E158" t="str">
        <f t="shared" si="8"/>
        <v>D</v>
      </c>
    </row>
    <row r="159" spans="1:5" x14ac:dyDescent="0.25">
      <c r="A159">
        <v>1080</v>
      </c>
      <c r="B159">
        <f>VLOOKUP(A159,[1]Hits!A$1:D$206,4,0)</f>
        <v>5</v>
      </c>
      <c r="C159">
        <f t="shared" si="6"/>
        <v>23152</v>
      </c>
      <c r="D159" s="3">
        <f t="shared" si="7"/>
        <v>99.569929468432832</v>
      </c>
      <c r="E159" t="str">
        <f t="shared" si="8"/>
        <v>D</v>
      </c>
    </row>
    <row r="160" spans="1:5" x14ac:dyDescent="0.25">
      <c r="A160">
        <v>1137</v>
      </c>
      <c r="B160">
        <f>VLOOKUP(A160,[1]Hits!A$1:D$206,4,0)</f>
        <v>5</v>
      </c>
      <c r="C160">
        <f t="shared" si="6"/>
        <v>23157</v>
      </c>
      <c r="D160" s="3">
        <f t="shared" si="7"/>
        <v>99.591432995011189</v>
      </c>
      <c r="E160" t="str">
        <f t="shared" si="8"/>
        <v>D</v>
      </c>
    </row>
    <row r="161" spans="1:5" x14ac:dyDescent="0.25">
      <c r="A161">
        <v>1141</v>
      </c>
      <c r="B161">
        <f>VLOOKUP(A161,[1]Hits!A$1:D$206,4,0)</f>
        <v>5</v>
      </c>
      <c r="C161">
        <f t="shared" si="6"/>
        <v>23162</v>
      </c>
      <c r="D161" s="3">
        <f t="shared" si="7"/>
        <v>99.612936521589546</v>
      </c>
      <c r="E161" t="str">
        <f t="shared" si="8"/>
        <v>D</v>
      </c>
    </row>
    <row r="162" spans="1:5" x14ac:dyDescent="0.25">
      <c r="A162">
        <v>1071</v>
      </c>
      <c r="B162">
        <f>VLOOKUP(A162,[1]Hits!A$1:D$206,4,0)</f>
        <v>4</v>
      </c>
      <c r="C162">
        <f t="shared" si="6"/>
        <v>23166</v>
      </c>
      <c r="D162" s="3">
        <f t="shared" si="7"/>
        <v>99.630139342852232</v>
      </c>
      <c r="E162" t="str">
        <f t="shared" si="8"/>
        <v>D</v>
      </c>
    </row>
    <row r="163" spans="1:5" x14ac:dyDescent="0.25">
      <c r="A163">
        <v>1084</v>
      </c>
      <c r="B163">
        <f>VLOOKUP(A163,[1]Hits!A$1:D$206,4,0)</f>
        <v>4</v>
      </c>
      <c r="C163">
        <f t="shared" si="6"/>
        <v>23170</v>
      </c>
      <c r="D163" s="3">
        <f t="shared" si="7"/>
        <v>99.647342164114917</v>
      </c>
      <c r="E163" t="str">
        <f t="shared" si="8"/>
        <v>D</v>
      </c>
    </row>
    <row r="164" spans="1:5" x14ac:dyDescent="0.25">
      <c r="A164">
        <v>1110</v>
      </c>
      <c r="B164">
        <f>VLOOKUP(A164,[1]Hits!A$1:D$206,4,0)</f>
        <v>3</v>
      </c>
      <c r="C164">
        <f t="shared" si="6"/>
        <v>23173</v>
      </c>
      <c r="D164" s="3">
        <f t="shared" si="7"/>
        <v>99.660244280061931</v>
      </c>
      <c r="E164" t="str">
        <f t="shared" si="8"/>
        <v>D</v>
      </c>
    </row>
    <row r="165" spans="1:5" x14ac:dyDescent="0.25">
      <c r="A165">
        <v>1081</v>
      </c>
      <c r="B165">
        <f>VLOOKUP(A165,[1]Hits!A$1:D$206,4,0)</f>
        <v>3</v>
      </c>
      <c r="C165">
        <f t="shared" si="6"/>
        <v>23176</v>
      </c>
      <c r="D165" s="3">
        <f t="shared" si="7"/>
        <v>99.673146396008946</v>
      </c>
      <c r="E165" t="str">
        <f t="shared" si="8"/>
        <v>D</v>
      </c>
    </row>
    <row r="166" spans="1:5" x14ac:dyDescent="0.25">
      <c r="A166">
        <v>1119</v>
      </c>
      <c r="B166">
        <f>VLOOKUP(A166,[1]Hits!A$1:D$206,4,0)</f>
        <v>3</v>
      </c>
      <c r="C166">
        <f t="shared" si="6"/>
        <v>23179</v>
      </c>
      <c r="D166" s="3">
        <f t="shared" si="7"/>
        <v>99.68604851195596</v>
      </c>
      <c r="E166" t="str">
        <f t="shared" si="8"/>
        <v>D</v>
      </c>
    </row>
    <row r="167" spans="1:5" x14ac:dyDescent="0.25">
      <c r="A167">
        <v>1149</v>
      </c>
      <c r="B167">
        <f>VLOOKUP(A167,[1]Hits!A$1:D$206,4,0)</f>
        <v>3</v>
      </c>
      <c r="C167">
        <f t="shared" si="6"/>
        <v>23182</v>
      </c>
      <c r="D167" s="3">
        <f t="shared" si="7"/>
        <v>99.698950627902974</v>
      </c>
      <c r="E167" t="str">
        <f t="shared" si="8"/>
        <v>D</v>
      </c>
    </row>
    <row r="168" spans="1:5" x14ac:dyDescent="0.25">
      <c r="A168">
        <v>1101</v>
      </c>
      <c r="B168">
        <f>VLOOKUP(A168,[1]Hits!A$1:D$206,4,0)</f>
        <v>3</v>
      </c>
      <c r="C168">
        <f t="shared" si="6"/>
        <v>23185</v>
      </c>
      <c r="D168" s="3">
        <f t="shared" si="7"/>
        <v>99.711852743849988</v>
      </c>
      <c r="E168" t="str">
        <f t="shared" si="8"/>
        <v>D</v>
      </c>
    </row>
    <row r="169" spans="1:5" x14ac:dyDescent="0.25">
      <c r="A169">
        <v>1114</v>
      </c>
      <c r="B169">
        <f>VLOOKUP(A169,[1]Hits!A$1:D$206,4,0)</f>
        <v>3</v>
      </c>
      <c r="C169">
        <f t="shared" si="6"/>
        <v>23188</v>
      </c>
      <c r="D169" s="3">
        <f t="shared" si="7"/>
        <v>99.724754859797002</v>
      </c>
      <c r="E169" t="str">
        <f t="shared" si="8"/>
        <v>D</v>
      </c>
    </row>
    <row r="170" spans="1:5" x14ac:dyDescent="0.25">
      <c r="A170">
        <v>1079</v>
      </c>
      <c r="B170">
        <f>VLOOKUP(A170,[1]Hits!A$1:D$206,4,0)</f>
        <v>3</v>
      </c>
      <c r="C170">
        <f t="shared" si="6"/>
        <v>23191</v>
      </c>
      <c r="D170" s="3">
        <f t="shared" si="7"/>
        <v>99.737656975744031</v>
      </c>
      <c r="E170" t="str">
        <f t="shared" si="8"/>
        <v>D</v>
      </c>
    </row>
    <row r="171" spans="1:5" x14ac:dyDescent="0.25">
      <c r="A171">
        <v>1108</v>
      </c>
      <c r="B171">
        <f>VLOOKUP(A171,[1]Hits!A$1:D$206,4,0)</f>
        <v>3</v>
      </c>
      <c r="C171">
        <f t="shared" si="6"/>
        <v>23194</v>
      </c>
      <c r="D171" s="3">
        <f t="shared" si="7"/>
        <v>99.750559091691031</v>
      </c>
      <c r="E171" t="str">
        <f t="shared" si="8"/>
        <v>D</v>
      </c>
    </row>
    <row r="172" spans="1:5" x14ac:dyDescent="0.25">
      <c r="A172">
        <v>1116</v>
      </c>
      <c r="B172">
        <f>VLOOKUP(A172,[1]Hits!A$1:D$206,4,0)</f>
        <v>3</v>
      </c>
      <c r="C172">
        <f t="shared" si="6"/>
        <v>23197</v>
      </c>
      <c r="D172" s="3">
        <f t="shared" si="7"/>
        <v>99.763461207638045</v>
      </c>
      <c r="E172" t="str">
        <f t="shared" si="8"/>
        <v>D</v>
      </c>
    </row>
    <row r="173" spans="1:5" x14ac:dyDescent="0.25">
      <c r="A173">
        <v>1073</v>
      </c>
      <c r="B173">
        <f>VLOOKUP(A173,[1]Hits!A$1:D$206,4,0)</f>
        <v>3</v>
      </c>
      <c r="C173">
        <f t="shared" si="6"/>
        <v>23200</v>
      </c>
      <c r="D173" s="3">
        <f t="shared" si="7"/>
        <v>99.776363323585073</v>
      </c>
      <c r="E173" t="str">
        <f t="shared" si="8"/>
        <v>D</v>
      </c>
    </row>
    <row r="174" spans="1:5" x14ac:dyDescent="0.25">
      <c r="A174">
        <v>1118</v>
      </c>
      <c r="B174">
        <f>VLOOKUP(A174,[1]Hits!A$1:D$206,4,0)</f>
        <v>3</v>
      </c>
      <c r="C174">
        <f t="shared" si="6"/>
        <v>23203</v>
      </c>
      <c r="D174" s="3">
        <f t="shared" si="7"/>
        <v>99.789265439532087</v>
      </c>
      <c r="E174" t="str">
        <f t="shared" si="8"/>
        <v>D</v>
      </c>
    </row>
    <row r="175" spans="1:5" x14ac:dyDescent="0.25">
      <c r="A175">
        <v>1072</v>
      </c>
      <c r="B175">
        <f>VLOOKUP(A175,[1]Hits!A$1:D$206,4,0)</f>
        <v>3</v>
      </c>
      <c r="C175">
        <f t="shared" ref="C175:C206" si="9">B175+C174</f>
        <v>23206</v>
      </c>
      <c r="D175" s="3">
        <f t="shared" si="7"/>
        <v>99.802167555479087</v>
      </c>
      <c r="E175" t="str">
        <f t="shared" si="8"/>
        <v>D</v>
      </c>
    </row>
    <row r="176" spans="1:5" x14ac:dyDescent="0.25">
      <c r="A176">
        <v>1111</v>
      </c>
      <c r="B176">
        <f>VLOOKUP(A176,[1]Hits!A$1:D$206,4,0)</f>
        <v>2</v>
      </c>
      <c r="C176">
        <f t="shared" si="9"/>
        <v>23208</v>
      </c>
      <c r="D176" s="3">
        <f t="shared" si="7"/>
        <v>99.810768966110444</v>
      </c>
      <c r="E176" t="str">
        <f t="shared" si="8"/>
        <v>D</v>
      </c>
    </row>
    <row r="177" spans="1:5" x14ac:dyDescent="0.25">
      <c r="A177">
        <v>1082</v>
      </c>
      <c r="B177">
        <f>VLOOKUP(A177,[1]Hits!A$1:D$206,4,0)</f>
        <v>2</v>
      </c>
      <c r="C177">
        <f t="shared" si="9"/>
        <v>23210</v>
      </c>
      <c r="D177" s="3">
        <f t="shared" si="7"/>
        <v>99.819370376741787</v>
      </c>
      <c r="E177" t="str">
        <f t="shared" si="8"/>
        <v>D</v>
      </c>
    </row>
    <row r="178" spans="1:5" x14ac:dyDescent="0.25">
      <c r="A178">
        <v>1107</v>
      </c>
      <c r="B178">
        <f>VLOOKUP(A178,[1]Hits!A$1:D$206,4,0)</f>
        <v>2</v>
      </c>
      <c r="C178">
        <f t="shared" si="9"/>
        <v>23212</v>
      </c>
      <c r="D178" s="3">
        <f t="shared" si="7"/>
        <v>99.82797178737313</v>
      </c>
      <c r="E178" t="str">
        <f t="shared" si="8"/>
        <v>D</v>
      </c>
    </row>
    <row r="179" spans="1:5" x14ac:dyDescent="0.25">
      <c r="A179">
        <v>1074</v>
      </c>
      <c r="B179">
        <f>VLOOKUP(A179,[1]Hits!A$1:D$206,4,0)</f>
        <v>2</v>
      </c>
      <c r="C179">
        <f t="shared" si="9"/>
        <v>23214</v>
      </c>
      <c r="D179" s="3">
        <f t="shared" si="7"/>
        <v>99.836573198004473</v>
      </c>
      <c r="E179" t="str">
        <f t="shared" si="8"/>
        <v>D</v>
      </c>
    </row>
    <row r="180" spans="1:5" x14ac:dyDescent="0.25">
      <c r="A180">
        <v>1145</v>
      </c>
      <c r="B180">
        <f>VLOOKUP(A180,[1]Hits!A$1:D$206,4,0)</f>
        <v>2</v>
      </c>
      <c r="C180">
        <f t="shared" si="9"/>
        <v>23216</v>
      </c>
      <c r="D180" s="3">
        <f t="shared" si="7"/>
        <v>99.845174608635816</v>
      </c>
      <c r="E180" t="str">
        <f t="shared" si="8"/>
        <v>D</v>
      </c>
    </row>
    <row r="181" spans="1:5" x14ac:dyDescent="0.25">
      <c r="A181">
        <v>1102</v>
      </c>
      <c r="B181">
        <f>VLOOKUP(A181,[1]Hits!A$1:D$206,4,0)</f>
        <v>2</v>
      </c>
      <c r="C181">
        <f t="shared" si="9"/>
        <v>23218</v>
      </c>
      <c r="D181" s="3">
        <f t="shared" si="7"/>
        <v>99.853776019267158</v>
      </c>
      <c r="E181" t="str">
        <f t="shared" si="8"/>
        <v>D</v>
      </c>
    </row>
    <row r="182" spans="1:5" x14ac:dyDescent="0.25">
      <c r="A182">
        <v>1122</v>
      </c>
      <c r="B182">
        <f>VLOOKUP(A182,[1]Hits!A$1:D$206,4,0)</f>
        <v>2</v>
      </c>
      <c r="C182">
        <f t="shared" si="9"/>
        <v>23220</v>
      </c>
      <c r="D182" s="3">
        <f t="shared" si="7"/>
        <v>99.862377429898501</v>
      </c>
      <c r="E182" t="str">
        <f t="shared" si="8"/>
        <v>D</v>
      </c>
    </row>
    <row r="183" spans="1:5" x14ac:dyDescent="0.25">
      <c r="A183">
        <v>1112</v>
      </c>
      <c r="B183">
        <f>VLOOKUP(A183,[1]Hits!A$1:D$206,4,0)</f>
        <v>2</v>
      </c>
      <c r="C183">
        <f t="shared" si="9"/>
        <v>23222</v>
      </c>
      <c r="D183" s="3">
        <f t="shared" si="7"/>
        <v>99.870978840529844</v>
      </c>
      <c r="E183" t="str">
        <f t="shared" si="8"/>
        <v>D</v>
      </c>
    </row>
    <row r="184" spans="1:5" x14ac:dyDescent="0.25">
      <c r="A184">
        <v>1147</v>
      </c>
      <c r="B184">
        <f>VLOOKUP(A184,[1]Hits!A$1:D$206,4,0)</f>
        <v>2</v>
      </c>
      <c r="C184">
        <f t="shared" si="9"/>
        <v>23224</v>
      </c>
      <c r="D184" s="3">
        <f t="shared" si="7"/>
        <v>99.879580251161187</v>
      </c>
      <c r="E184" t="str">
        <f t="shared" si="8"/>
        <v>D</v>
      </c>
    </row>
    <row r="185" spans="1:5" x14ac:dyDescent="0.25">
      <c r="A185">
        <v>1098</v>
      </c>
      <c r="B185">
        <f>VLOOKUP(A185,[1]Hits!A$1:D$206,4,0)</f>
        <v>2</v>
      </c>
      <c r="C185">
        <f t="shared" si="9"/>
        <v>23226</v>
      </c>
      <c r="D185" s="3">
        <f t="shared" si="7"/>
        <v>99.88818166179253</v>
      </c>
      <c r="E185" t="str">
        <f t="shared" si="8"/>
        <v>D</v>
      </c>
    </row>
    <row r="186" spans="1:5" x14ac:dyDescent="0.25">
      <c r="A186">
        <v>1124</v>
      </c>
      <c r="B186">
        <f>VLOOKUP(A186,[1]Hits!A$1:D$206,4,0)</f>
        <v>2</v>
      </c>
      <c r="C186">
        <f t="shared" si="9"/>
        <v>23228</v>
      </c>
      <c r="D186" s="3">
        <f t="shared" si="7"/>
        <v>99.896783072423872</v>
      </c>
      <c r="E186" t="str">
        <f t="shared" si="8"/>
        <v>D</v>
      </c>
    </row>
    <row r="187" spans="1:5" x14ac:dyDescent="0.25">
      <c r="A187">
        <v>1146</v>
      </c>
      <c r="B187">
        <f>VLOOKUP(A187,[1]Hits!A$1:D$206,4,0)</f>
        <v>2</v>
      </c>
      <c r="C187">
        <f t="shared" si="9"/>
        <v>23230</v>
      </c>
      <c r="D187" s="3">
        <f t="shared" si="7"/>
        <v>99.905384483055229</v>
      </c>
      <c r="E187" t="str">
        <f t="shared" si="8"/>
        <v>D</v>
      </c>
    </row>
    <row r="188" spans="1:5" x14ac:dyDescent="0.25">
      <c r="A188">
        <v>1077</v>
      </c>
      <c r="B188">
        <f>VLOOKUP(A188,[1]Hits!A$1:D$206,4,0)</f>
        <v>2</v>
      </c>
      <c r="C188">
        <f t="shared" si="9"/>
        <v>23232</v>
      </c>
      <c r="D188" s="3">
        <f t="shared" si="7"/>
        <v>99.913985893686558</v>
      </c>
      <c r="E188" t="str">
        <f t="shared" si="8"/>
        <v>D</v>
      </c>
    </row>
    <row r="189" spans="1:5" x14ac:dyDescent="0.25">
      <c r="A189">
        <v>1103</v>
      </c>
      <c r="B189">
        <f>VLOOKUP(A189,[1]Hits!A$1:D$206,4,0)</f>
        <v>2</v>
      </c>
      <c r="C189">
        <f t="shared" si="9"/>
        <v>23234</v>
      </c>
      <c r="D189" s="3">
        <f t="shared" si="7"/>
        <v>99.922587304317915</v>
      </c>
      <c r="E189" t="str">
        <f t="shared" si="8"/>
        <v>D</v>
      </c>
    </row>
    <row r="190" spans="1:5" x14ac:dyDescent="0.25">
      <c r="A190">
        <v>1123</v>
      </c>
      <c r="B190">
        <f>VLOOKUP(A190,[1]Hits!A$1:D$206,4,0)</f>
        <v>2</v>
      </c>
      <c r="C190">
        <f t="shared" si="9"/>
        <v>23236</v>
      </c>
      <c r="D190" s="3">
        <f t="shared" si="7"/>
        <v>99.931188714949243</v>
      </c>
      <c r="E190" t="str">
        <f t="shared" si="8"/>
        <v>D</v>
      </c>
    </row>
    <row r="191" spans="1:5" x14ac:dyDescent="0.25">
      <c r="A191">
        <v>1142</v>
      </c>
      <c r="B191">
        <f>VLOOKUP(A191,[1]Hits!A$1:D$206,4,0)</f>
        <v>1</v>
      </c>
      <c r="C191">
        <f t="shared" si="9"/>
        <v>23237</v>
      </c>
      <c r="D191" s="3">
        <f t="shared" si="7"/>
        <v>99.935489420264929</v>
      </c>
      <c r="E191" t="str">
        <f t="shared" si="8"/>
        <v>D</v>
      </c>
    </row>
    <row r="192" spans="1:5" x14ac:dyDescent="0.25">
      <c r="A192">
        <v>1085</v>
      </c>
      <c r="B192">
        <f>VLOOKUP(A192,[1]Hits!A$1:D$206,4,0)</f>
        <v>1</v>
      </c>
      <c r="C192">
        <f t="shared" si="9"/>
        <v>23238</v>
      </c>
      <c r="D192" s="3">
        <f t="shared" si="7"/>
        <v>99.9397901255806</v>
      </c>
      <c r="E192" t="str">
        <f t="shared" si="8"/>
        <v>D</v>
      </c>
    </row>
    <row r="193" spans="1:5" x14ac:dyDescent="0.25">
      <c r="A193">
        <v>1078</v>
      </c>
      <c r="B193">
        <f>VLOOKUP(A193,[1]Hits!A$1:D$206,4,0)</f>
        <v>1</v>
      </c>
      <c r="C193">
        <f t="shared" si="9"/>
        <v>23239</v>
      </c>
      <c r="D193" s="3">
        <f t="shared" si="7"/>
        <v>99.944090830896272</v>
      </c>
      <c r="E193" t="str">
        <f t="shared" si="8"/>
        <v>D</v>
      </c>
    </row>
    <row r="194" spans="1:5" x14ac:dyDescent="0.25">
      <c r="A194">
        <v>1075</v>
      </c>
      <c r="B194">
        <f>VLOOKUP(A194,[1]Hits!A$1:D$206,4,0)</f>
        <v>1</v>
      </c>
      <c r="C194">
        <f t="shared" si="9"/>
        <v>23240</v>
      </c>
      <c r="D194" s="3">
        <f t="shared" si="7"/>
        <v>99.948391536211929</v>
      </c>
      <c r="E194" t="str">
        <f t="shared" si="8"/>
        <v>D</v>
      </c>
    </row>
    <row r="195" spans="1:5" x14ac:dyDescent="0.25">
      <c r="A195">
        <v>1121</v>
      </c>
      <c r="B195">
        <f>VLOOKUP(A195,[1]Hits!A$1:D$206,4,0)</f>
        <v>1</v>
      </c>
      <c r="C195">
        <f t="shared" si="9"/>
        <v>23241</v>
      </c>
      <c r="D195" s="3">
        <f t="shared" ref="D195:D206" si="10">C195/$C$206*100</f>
        <v>99.952692241527615</v>
      </c>
      <c r="E195" t="str">
        <f t="shared" ref="E195:E206" si="11">IF(D195 &lt;= 60, "A", IF(D195 &lt;= 80, "B", IF(D195 &lt;= 90, "C", "D")))</f>
        <v>D</v>
      </c>
    </row>
    <row r="196" spans="1:5" x14ac:dyDescent="0.25">
      <c r="A196">
        <v>1148</v>
      </c>
      <c r="B196">
        <f>VLOOKUP(A196,[1]Hits!A$1:D$206,4,0)</f>
        <v>1</v>
      </c>
      <c r="C196">
        <f t="shared" si="9"/>
        <v>23242</v>
      </c>
      <c r="D196" s="3">
        <f t="shared" si="10"/>
        <v>99.956992946843286</v>
      </c>
      <c r="E196" t="str">
        <f t="shared" si="11"/>
        <v>D</v>
      </c>
    </row>
    <row r="197" spans="1:5" x14ac:dyDescent="0.25">
      <c r="A197">
        <v>1097</v>
      </c>
      <c r="B197">
        <f>VLOOKUP(A197,[1]Hits!A$1:D$206,4,0)</f>
        <v>1</v>
      </c>
      <c r="C197">
        <f t="shared" si="9"/>
        <v>23243</v>
      </c>
      <c r="D197" s="3">
        <f t="shared" si="10"/>
        <v>99.961293652158957</v>
      </c>
      <c r="E197" t="str">
        <f t="shared" si="11"/>
        <v>D</v>
      </c>
    </row>
    <row r="198" spans="1:5" x14ac:dyDescent="0.25">
      <c r="A198">
        <v>1076</v>
      </c>
      <c r="B198">
        <f>VLOOKUP(A198,[1]Hits!A$1:D$206,4,0)</f>
        <v>1</v>
      </c>
      <c r="C198">
        <f t="shared" si="9"/>
        <v>23244</v>
      </c>
      <c r="D198" s="3">
        <f t="shared" si="10"/>
        <v>99.965594357474629</v>
      </c>
      <c r="E198" t="str">
        <f t="shared" si="11"/>
        <v>D</v>
      </c>
    </row>
    <row r="199" spans="1:5" x14ac:dyDescent="0.25">
      <c r="A199">
        <v>1120</v>
      </c>
      <c r="B199">
        <f>VLOOKUP(A199,[1]Hits!A$1:D$206,4,0)</f>
        <v>1</v>
      </c>
      <c r="C199">
        <f t="shared" si="9"/>
        <v>23245</v>
      </c>
      <c r="D199" s="3">
        <f t="shared" si="10"/>
        <v>99.969895062790286</v>
      </c>
      <c r="E199" t="str">
        <f t="shared" si="11"/>
        <v>D</v>
      </c>
    </row>
    <row r="200" spans="1:5" x14ac:dyDescent="0.25">
      <c r="A200">
        <v>1105</v>
      </c>
      <c r="B200">
        <f>VLOOKUP(A200,[1]Hits!A$1:D$206,4,0)</f>
        <v>1</v>
      </c>
      <c r="C200">
        <f t="shared" si="9"/>
        <v>23246</v>
      </c>
      <c r="D200" s="3">
        <f t="shared" si="10"/>
        <v>99.974195768105972</v>
      </c>
      <c r="E200" t="str">
        <f t="shared" si="11"/>
        <v>D</v>
      </c>
    </row>
    <row r="201" spans="1:5" x14ac:dyDescent="0.25">
      <c r="A201">
        <v>1144</v>
      </c>
      <c r="B201">
        <f>VLOOKUP(A201,[1]Hits!A$1:D$206,4,0)</f>
        <v>1</v>
      </c>
      <c r="C201">
        <f t="shared" si="9"/>
        <v>23247</v>
      </c>
      <c r="D201" s="3">
        <f t="shared" si="10"/>
        <v>99.978496473421643</v>
      </c>
      <c r="E201" t="str">
        <f t="shared" si="11"/>
        <v>D</v>
      </c>
    </row>
    <row r="202" spans="1:5" x14ac:dyDescent="0.25">
      <c r="A202">
        <v>1109</v>
      </c>
      <c r="B202">
        <f>VLOOKUP(A202,[1]Hits!A$1:D$206,4,0)</f>
        <v>1</v>
      </c>
      <c r="C202">
        <f t="shared" si="9"/>
        <v>23248</v>
      </c>
      <c r="D202" s="3">
        <f t="shared" si="10"/>
        <v>99.982797178737314</v>
      </c>
      <c r="E202" t="str">
        <f t="shared" si="11"/>
        <v>D</v>
      </c>
    </row>
    <row r="203" spans="1:5" x14ac:dyDescent="0.25">
      <c r="A203">
        <v>1115</v>
      </c>
      <c r="B203">
        <f>VLOOKUP(A203,[1]Hits!A$1:D$206,4,0)</f>
        <v>1</v>
      </c>
      <c r="C203">
        <f t="shared" si="9"/>
        <v>23249</v>
      </c>
      <c r="D203" s="3">
        <f t="shared" si="10"/>
        <v>99.987097884052986</v>
      </c>
      <c r="E203" t="str">
        <f t="shared" si="11"/>
        <v>D</v>
      </c>
    </row>
    <row r="204" spans="1:5" x14ac:dyDescent="0.25">
      <c r="A204">
        <v>1113</v>
      </c>
      <c r="B204">
        <f>VLOOKUP(A204,[1]Hits!A$1:D$206,4,0)</f>
        <v>1</v>
      </c>
      <c r="C204">
        <f t="shared" si="9"/>
        <v>23250</v>
      </c>
      <c r="D204" s="3">
        <f t="shared" si="10"/>
        <v>99.991398589368657</v>
      </c>
      <c r="E204" t="str">
        <f t="shared" si="11"/>
        <v>D</v>
      </c>
    </row>
    <row r="205" spans="1:5" x14ac:dyDescent="0.25">
      <c r="A205">
        <v>1083</v>
      </c>
      <c r="B205">
        <f>VLOOKUP(A205,[1]Hits!A$1:D$206,4,0)</f>
        <v>1</v>
      </c>
      <c r="C205">
        <f t="shared" si="9"/>
        <v>23251</v>
      </c>
      <c r="D205" s="3">
        <f t="shared" si="10"/>
        <v>99.995699294684329</v>
      </c>
      <c r="E205" t="str">
        <f t="shared" si="11"/>
        <v>D</v>
      </c>
    </row>
    <row r="206" spans="1:5" x14ac:dyDescent="0.25">
      <c r="A206">
        <v>1086</v>
      </c>
      <c r="B206">
        <f>VLOOKUP(A206,[1]Hits!A$1:D$206,4,0)</f>
        <v>1</v>
      </c>
      <c r="C206">
        <f t="shared" si="9"/>
        <v>23252</v>
      </c>
      <c r="D206" s="3">
        <f t="shared" si="10"/>
        <v>100</v>
      </c>
      <c r="E206" t="str">
        <f t="shared" si="11"/>
        <v>D</v>
      </c>
    </row>
  </sheetData>
  <sortState xmlns:xlrd2="http://schemas.microsoft.com/office/spreadsheetml/2017/richdata2" ref="A2:E206">
    <sortCondition descending="1" ref="B1:B20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BEC72-9799-490D-8739-0BF0C57472C1}">
  <dimension ref="A1:P206"/>
  <sheetViews>
    <sheetView topLeftCell="A85" workbookViewId="0">
      <selection activeCell="A187" sqref="A187:G187"/>
    </sheetView>
  </sheetViews>
  <sheetFormatPr defaultRowHeight="15" x14ac:dyDescent="0.25"/>
  <cols>
    <col min="1" max="1" width="16.28515625" customWidth="1"/>
    <col min="2" max="2" width="15.28515625" customWidth="1"/>
    <col min="3" max="3" width="17.7109375" customWidth="1"/>
    <col min="4" max="4" width="15.7109375" bestFit="1" customWidth="1"/>
    <col min="5" max="5" width="14.5703125" bestFit="1" customWidth="1"/>
    <col min="6" max="6" width="15.85546875" customWidth="1"/>
    <col min="7" max="7" width="10" bestFit="1" customWidth="1"/>
    <col min="10" max="10" width="9.5703125" customWidth="1"/>
    <col min="12" max="12" width="16.85546875" customWidth="1"/>
    <col min="14" max="15" width="13.140625" bestFit="1" customWidth="1"/>
    <col min="16" max="16" width="18.28515625" bestFit="1" customWidth="1"/>
  </cols>
  <sheetData>
    <row r="1" spans="1:16" x14ac:dyDescent="0.25">
      <c r="A1" t="s">
        <v>0</v>
      </c>
      <c r="B1" t="s">
        <v>235</v>
      </c>
      <c r="C1" t="s">
        <v>236</v>
      </c>
      <c r="D1" t="s">
        <v>237</v>
      </c>
      <c r="E1" t="s">
        <v>238</v>
      </c>
      <c r="F1" t="s">
        <v>243</v>
      </c>
      <c r="G1" t="s">
        <v>239</v>
      </c>
      <c r="J1" t="s">
        <v>240</v>
      </c>
      <c r="O1" s="19" t="s">
        <v>253</v>
      </c>
      <c r="P1" t="s">
        <v>256</v>
      </c>
    </row>
    <row r="2" spans="1:16" x14ac:dyDescent="0.25">
      <c r="A2">
        <v>1090</v>
      </c>
      <c r="B2" t="str">
        <f>VLOOKUP(A2, Sales!$A$2:$E$206, 5, FALSE)</f>
        <v>A</v>
      </c>
      <c r="C2" t="str">
        <f>VLOOKUP(A2, Hits!$A$2:$E$206, 5, FALSE)</f>
        <v>A</v>
      </c>
      <c r="D2">
        <f>VLOOKUP(B2, $J$9:$K$12, 2, FALSE)</f>
        <v>4</v>
      </c>
      <c r="E2">
        <f>VLOOKUP(C2, $J$9:$K$12, 2, FALSE)</f>
        <v>4</v>
      </c>
      <c r="F2" s="15">
        <f>D2*$K$4+E2*$K$5</f>
        <v>4</v>
      </c>
      <c r="G2" t="str">
        <f>VLOOKUP(F2, $J$22:$K$25, 2, 1)</f>
        <v>A</v>
      </c>
      <c r="O2" s="20" t="s">
        <v>212</v>
      </c>
      <c r="P2">
        <v>22</v>
      </c>
    </row>
    <row r="3" spans="1:16" x14ac:dyDescent="0.25">
      <c r="A3">
        <v>1180</v>
      </c>
      <c r="B3" t="str">
        <f>VLOOKUP(A3, Sales!$A$2:$E$206, 5, FALSE)</f>
        <v>A</v>
      </c>
      <c r="C3" t="str">
        <f>VLOOKUP(A3, Hits!$A$2:$E$206, 5, FALSE)</f>
        <v>C</v>
      </c>
      <c r="D3">
        <f t="shared" ref="D3:D66" si="0">VLOOKUP(B3, $J$9:$K$12, 2, FALSE)</f>
        <v>4</v>
      </c>
      <c r="E3">
        <f t="shared" ref="E3:E66" si="1">VLOOKUP(C3, $J$9:$K$12, 2, FALSE)</f>
        <v>2</v>
      </c>
      <c r="F3" s="15">
        <f t="shared" ref="F3:F66" si="2">D3*$K$4+E3*$K$5</f>
        <v>3.3</v>
      </c>
      <c r="G3" t="str">
        <f t="shared" ref="G3:G66" si="3">VLOOKUP(F3, $J$22:$K$25, 2, 1)</f>
        <v>A</v>
      </c>
      <c r="J3" t="s">
        <v>245</v>
      </c>
      <c r="O3" s="20" t="s">
        <v>213</v>
      </c>
      <c r="P3">
        <v>18</v>
      </c>
    </row>
    <row r="4" spans="1:16" x14ac:dyDescent="0.25">
      <c r="A4">
        <v>1055</v>
      </c>
      <c r="B4" t="str">
        <f>VLOOKUP(A4, Sales!$A$2:$E$206, 5, FALSE)</f>
        <v>A</v>
      </c>
      <c r="C4" t="str">
        <f>VLOOKUP(A4, Hits!$A$2:$E$206, 5, FALSE)</f>
        <v>C</v>
      </c>
      <c r="D4">
        <f t="shared" si="0"/>
        <v>4</v>
      </c>
      <c r="E4">
        <f t="shared" si="1"/>
        <v>2</v>
      </c>
      <c r="F4" s="15">
        <f t="shared" si="2"/>
        <v>3.3</v>
      </c>
      <c r="G4" t="str">
        <f t="shared" si="3"/>
        <v>A</v>
      </c>
      <c r="J4" t="s">
        <v>244</v>
      </c>
      <c r="K4" s="5">
        <v>0.65</v>
      </c>
      <c r="O4" s="20" t="s">
        <v>214</v>
      </c>
      <c r="P4">
        <v>23</v>
      </c>
    </row>
    <row r="5" spans="1:16" ht="15.75" x14ac:dyDescent="0.25">
      <c r="A5">
        <v>1054</v>
      </c>
      <c r="B5" t="str">
        <f>VLOOKUP(A5, Sales!$A$2:$E$206, 5, FALSE)</f>
        <v>A</v>
      </c>
      <c r="C5" t="str">
        <f>VLOOKUP(A5, Hits!$A$2:$E$206, 5, FALSE)</f>
        <v>C</v>
      </c>
      <c r="D5">
        <f t="shared" si="0"/>
        <v>4</v>
      </c>
      <c r="E5">
        <f t="shared" si="1"/>
        <v>2</v>
      </c>
      <c r="F5" s="15">
        <f t="shared" si="2"/>
        <v>3.3</v>
      </c>
      <c r="G5" t="str">
        <f t="shared" si="3"/>
        <v>A</v>
      </c>
      <c r="J5" t="s">
        <v>3</v>
      </c>
      <c r="K5" s="5">
        <v>0.35</v>
      </c>
      <c r="L5" s="14"/>
      <c r="O5" s="20" t="s">
        <v>215</v>
      </c>
      <c r="P5">
        <v>142</v>
      </c>
    </row>
    <row r="6" spans="1:16" x14ac:dyDescent="0.25">
      <c r="A6">
        <v>1092</v>
      </c>
      <c r="B6" t="str">
        <f>VLOOKUP(A6, Sales!$A$2:$E$206, 5, FALSE)</f>
        <v>A</v>
      </c>
      <c r="C6" t="str">
        <f>VLOOKUP(A6, Hits!$A$2:$E$206, 5, FALSE)</f>
        <v>A</v>
      </c>
      <c r="D6">
        <f t="shared" si="0"/>
        <v>4</v>
      </c>
      <c r="E6">
        <f t="shared" si="1"/>
        <v>4</v>
      </c>
      <c r="F6" s="15">
        <f t="shared" si="2"/>
        <v>4</v>
      </c>
      <c r="G6" t="str">
        <f t="shared" si="3"/>
        <v>A</v>
      </c>
      <c r="L6" s="6"/>
      <c r="O6" s="20" t="s">
        <v>254</v>
      </c>
      <c r="P6">
        <v>205</v>
      </c>
    </row>
    <row r="7" spans="1:16" x14ac:dyDescent="0.25">
      <c r="A7">
        <v>1043</v>
      </c>
      <c r="B7" t="str">
        <f>VLOOKUP(A7, Sales!$A$2:$E$206, 5, FALSE)</f>
        <v>A</v>
      </c>
      <c r="C7" t="str">
        <f>VLOOKUP(A7, Hits!$A$2:$E$206, 5, FALSE)</f>
        <v>A</v>
      </c>
      <c r="D7">
        <f t="shared" si="0"/>
        <v>4</v>
      </c>
      <c r="E7">
        <f t="shared" si="1"/>
        <v>4</v>
      </c>
      <c r="F7" s="15">
        <f t="shared" si="2"/>
        <v>4</v>
      </c>
      <c r="G7" t="str">
        <f t="shared" si="3"/>
        <v>A</v>
      </c>
      <c r="L7" s="6"/>
    </row>
    <row r="8" spans="1:16" x14ac:dyDescent="0.25">
      <c r="A8">
        <v>1035</v>
      </c>
      <c r="B8" t="str">
        <f>VLOOKUP(A8, Sales!$A$2:$E$206, 5, FALSE)</f>
        <v>A</v>
      </c>
      <c r="C8" t="str">
        <f>VLOOKUP(A8, Hits!$A$2:$E$206, 5, FALSE)</f>
        <v>C</v>
      </c>
      <c r="D8">
        <f t="shared" si="0"/>
        <v>4</v>
      </c>
      <c r="E8">
        <f t="shared" si="1"/>
        <v>2</v>
      </c>
      <c r="F8" s="15">
        <f t="shared" si="2"/>
        <v>3.3</v>
      </c>
      <c r="G8" t="str">
        <f t="shared" si="3"/>
        <v>A</v>
      </c>
      <c r="J8" t="s">
        <v>210</v>
      </c>
      <c r="K8" t="s">
        <v>245</v>
      </c>
      <c r="L8" s="6"/>
      <c r="M8" s="6"/>
    </row>
    <row r="9" spans="1:16" x14ac:dyDescent="0.25">
      <c r="A9">
        <v>1155</v>
      </c>
      <c r="B9" t="str">
        <f>VLOOKUP(A9, Sales!$A$2:$E$206, 5, FALSE)</f>
        <v>A</v>
      </c>
      <c r="C9" t="str">
        <f>VLOOKUP(A9, Hits!$A$2:$E$206, 5, FALSE)</f>
        <v>B</v>
      </c>
      <c r="D9">
        <f t="shared" si="0"/>
        <v>4</v>
      </c>
      <c r="E9">
        <f t="shared" si="1"/>
        <v>3</v>
      </c>
      <c r="F9" s="15">
        <f t="shared" si="2"/>
        <v>3.65</v>
      </c>
      <c r="G9" t="str">
        <f t="shared" si="3"/>
        <v>A</v>
      </c>
      <c r="J9" t="s">
        <v>212</v>
      </c>
      <c r="K9">
        <v>4</v>
      </c>
      <c r="L9" s="8"/>
    </row>
    <row r="10" spans="1:16" x14ac:dyDescent="0.25">
      <c r="A10">
        <v>1198</v>
      </c>
      <c r="B10" t="str">
        <f>VLOOKUP(A10, Sales!$A$2:$E$206, 5, FALSE)</f>
        <v>A</v>
      </c>
      <c r="C10" t="str">
        <f>VLOOKUP(A10, Hits!$A$2:$E$206, 5, FALSE)</f>
        <v>A</v>
      </c>
      <c r="D10">
        <f t="shared" si="0"/>
        <v>4</v>
      </c>
      <c r="E10">
        <f t="shared" si="1"/>
        <v>4</v>
      </c>
      <c r="F10" s="15">
        <f t="shared" si="2"/>
        <v>4</v>
      </c>
      <c r="G10" t="str">
        <f t="shared" si="3"/>
        <v>A</v>
      </c>
      <c r="J10" t="s">
        <v>213</v>
      </c>
      <c r="K10">
        <v>3</v>
      </c>
      <c r="L10" s="8"/>
      <c r="M10" s="9"/>
    </row>
    <row r="11" spans="1:16" x14ac:dyDescent="0.25">
      <c r="A11">
        <v>1178</v>
      </c>
      <c r="B11" t="str">
        <f>VLOOKUP(A11, Sales!$A$2:$E$206, 5, FALSE)</f>
        <v>A</v>
      </c>
      <c r="C11" t="str">
        <f>VLOOKUP(A11, Hits!$A$2:$E$206, 5, FALSE)</f>
        <v>A</v>
      </c>
      <c r="D11">
        <f t="shared" si="0"/>
        <v>4</v>
      </c>
      <c r="E11">
        <f t="shared" si="1"/>
        <v>4</v>
      </c>
      <c r="F11" s="15">
        <f t="shared" si="2"/>
        <v>4</v>
      </c>
      <c r="G11" t="str">
        <f t="shared" si="3"/>
        <v>A</v>
      </c>
      <c r="J11" t="s">
        <v>214</v>
      </c>
      <c r="K11">
        <v>2</v>
      </c>
      <c r="L11" s="8"/>
      <c r="M11" s="9"/>
    </row>
    <row r="12" spans="1:16" x14ac:dyDescent="0.25">
      <c r="A12">
        <v>1193</v>
      </c>
      <c r="B12" t="str">
        <f>VLOOKUP(A12, Sales!$A$2:$E$206, 5, FALSE)</f>
        <v>A</v>
      </c>
      <c r="C12" t="str">
        <f>VLOOKUP(A12, Hits!$A$2:$E$206, 5, FALSE)</f>
        <v>B</v>
      </c>
      <c r="D12">
        <f t="shared" si="0"/>
        <v>4</v>
      </c>
      <c r="E12">
        <f t="shared" si="1"/>
        <v>3</v>
      </c>
      <c r="F12" s="15">
        <f t="shared" si="2"/>
        <v>3.65</v>
      </c>
      <c r="G12" t="str">
        <f t="shared" si="3"/>
        <v>A</v>
      </c>
      <c r="J12" t="s">
        <v>215</v>
      </c>
      <c r="K12">
        <v>1</v>
      </c>
      <c r="L12" s="8"/>
      <c r="M12" s="11"/>
    </row>
    <row r="13" spans="1:16" x14ac:dyDescent="0.25">
      <c r="A13">
        <v>1170</v>
      </c>
      <c r="B13" t="str">
        <f>VLOOKUP(A13, Sales!$A$2:$E$206, 5, FALSE)</f>
        <v>A</v>
      </c>
      <c r="C13" t="str">
        <f>VLOOKUP(A13, Hits!$A$2:$E$206, 5, FALSE)</f>
        <v>A</v>
      </c>
      <c r="D13">
        <f t="shared" si="0"/>
        <v>4</v>
      </c>
      <c r="E13">
        <f t="shared" si="1"/>
        <v>4</v>
      </c>
      <c r="F13" s="15">
        <f t="shared" si="2"/>
        <v>4</v>
      </c>
      <c r="G13" t="str">
        <f t="shared" si="3"/>
        <v>A</v>
      </c>
      <c r="L13" s="7"/>
      <c r="M13" s="6"/>
    </row>
    <row r="14" spans="1:16" x14ac:dyDescent="0.25">
      <c r="A14">
        <v>1196</v>
      </c>
      <c r="B14" t="str">
        <f>VLOOKUP(A14, Sales!$A$2:$E$206, 5, FALSE)</f>
        <v>B</v>
      </c>
      <c r="C14" t="str">
        <f>VLOOKUP(A14, Hits!$A$2:$E$206, 5, FALSE)</f>
        <v>A</v>
      </c>
      <c r="D14">
        <f t="shared" si="0"/>
        <v>3</v>
      </c>
      <c r="E14">
        <f t="shared" si="1"/>
        <v>4</v>
      </c>
      <c r="F14" s="15">
        <f t="shared" si="2"/>
        <v>3.35</v>
      </c>
      <c r="G14" t="str">
        <f t="shared" si="3"/>
        <v>A</v>
      </c>
      <c r="K14" s="23" t="s">
        <v>246</v>
      </c>
      <c r="L14" s="23"/>
      <c r="M14" s="6"/>
    </row>
    <row r="15" spans="1:16" x14ac:dyDescent="0.25">
      <c r="A15">
        <v>1205</v>
      </c>
      <c r="B15" t="str">
        <f>VLOOKUP(A15, Sales!$A$2:$E$206, 5, FALSE)</f>
        <v>B</v>
      </c>
      <c r="C15" t="str">
        <f>VLOOKUP(A15, Hits!$A$2:$E$206, 5, FALSE)</f>
        <v>A</v>
      </c>
      <c r="D15">
        <f t="shared" si="0"/>
        <v>3</v>
      </c>
      <c r="E15">
        <f t="shared" si="1"/>
        <v>4</v>
      </c>
      <c r="F15" s="15">
        <f t="shared" si="2"/>
        <v>3.35</v>
      </c>
      <c r="G15" t="str">
        <f t="shared" si="3"/>
        <v>A</v>
      </c>
      <c r="J15" t="s">
        <v>210</v>
      </c>
      <c r="K15" t="s">
        <v>241</v>
      </c>
      <c r="L15" t="s">
        <v>242</v>
      </c>
      <c r="M15" s="6"/>
    </row>
    <row r="16" spans="1:16" x14ac:dyDescent="0.25">
      <c r="A16">
        <v>1215</v>
      </c>
      <c r="B16" t="str">
        <f>VLOOKUP(A16, Sales!$A$2:$E$206, 5, FALSE)</f>
        <v>B</v>
      </c>
      <c r="C16" t="str">
        <f>VLOOKUP(A16, Hits!$A$2:$E$206, 5, FALSE)</f>
        <v>B</v>
      </c>
      <c r="D16">
        <f t="shared" si="0"/>
        <v>3</v>
      </c>
      <c r="E16">
        <f t="shared" si="1"/>
        <v>3</v>
      </c>
      <c r="F16" s="15">
        <f t="shared" si="2"/>
        <v>3</v>
      </c>
      <c r="G16" t="str">
        <f t="shared" si="3"/>
        <v>B</v>
      </c>
      <c r="J16" t="s">
        <v>212</v>
      </c>
      <c r="K16">
        <v>3.25</v>
      </c>
      <c r="L16" s="16">
        <v>4</v>
      </c>
      <c r="M16" s="8"/>
    </row>
    <row r="17" spans="1:13" x14ac:dyDescent="0.25">
      <c r="A17">
        <v>1214</v>
      </c>
      <c r="B17" t="str">
        <f>VLOOKUP(A17, Sales!$A$2:$E$206, 5, FALSE)</f>
        <v>B</v>
      </c>
      <c r="C17" t="str">
        <f>VLOOKUP(A17, Hits!$A$2:$E$206, 5, FALSE)</f>
        <v>B</v>
      </c>
      <c r="D17">
        <f t="shared" si="0"/>
        <v>3</v>
      </c>
      <c r="E17">
        <f t="shared" si="1"/>
        <v>3</v>
      </c>
      <c r="F17" s="15">
        <f t="shared" si="2"/>
        <v>3</v>
      </c>
      <c r="G17" t="str">
        <f t="shared" si="3"/>
        <v>B</v>
      </c>
      <c r="J17" t="s">
        <v>213</v>
      </c>
      <c r="K17">
        <v>2.5</v>
      </c>
      <c r="L17">
        <v>3.24</v>
      </c>
      <c r="M17" s="12"/>
    </row>
    <row r="18" spans="1:13" x14ac:dyDescent="0.25">
      <c r="A18">
        <v>1168</v>
      </c>
      <c r="B18" t="str">
        <f>VLOOKUP(A18, Sales!$A$2:$E$206, 5, FALSE)</f>
        <v>B</v>
      </c>
      <c r="C18" t="str">
        <f>VLOOKUP(A18, Hits!$A$2:$E$206, 5, FALSE)</f>
        <v>A</v>
      </c>
      <c r="D18">
        <f t="shared" si="0"/>
        <v>3</v>
      </c>
      <c r="E18">
        <f t="shared" si="1"/>
        <v>4</v>
      </c>
      <c r="F18" s="15">
        <f t="shared" si="2"/>
        <v>3.35</v>
      </c>
      <c r="G18" t="str">
        <f t="shared" si="3"/>
        <v>A</v>
      </c>
      <c r="J18" t="s">
        <v>214</v>
      </c>
      <c r="K18">
        <v>1.75</v>
      </c>
      <c r="L18">
        <v>2.4900000000000002</v>
      </c>
      <c r="M18" s="12"/>
    </row>
    <row r="19" spans="1:13" x14ac:dyDescent="0.25">
      <c r="A19">
        <v>1213</v>
      </c>
      <c r="B19" t="str">
        <f>VLOOKUP(A19, Sales!$A$2:$E$206, 5, FALSE)</f>
        <v>B</v>
      </c>
      <c r="C19" t="str">
        <f>VLOOKUP(A19, Hits!$A$2:$E$206, 5, FALSE)</f>
        <v>B</v>
      </c>
      <c r="D19">
        <f t="shared" si="0"/>
        <v>3</v>
      </c>
      <c r="E19">
        <f t="shared" si="1"/>
        <v>3</v>
      </c>
      <c r="F19" s="15">
        <f t="shared" si="2"/>
        <v>3</v>
      </c>
      <c r="G19" t="str">
        <f t="shared" si="3"/>
        <v>B</v>
      </c>
      <c r="J19" t="s">
        <v>215</v>
      </c>
      <c r="K19">
        <v>0</v>
      </c>
      <c r="L19">
        <v>1.75</v>
      </c>
      <c r="M19" s="13"/>
    </row>
    <row r="20" spans="1:13" x14ac:dyDescent="0.25">
      <c r="A20">
        <v>1192</v>
      </c>
      <c r="B20" t="str">
        <f>VLOOKUP(A20, Sales!$A$2:$E$206, 5, FALSE)</f>
        <v>B</v>
      </c>
      <c r="C20" t="str">
        <f>VLOOKUP(A20, Hits!$A$2:$E$206, 5, FALSE)</f>
        <v>B</v>
      </c>
      <c r="D20">
        <f t="shared" si="0"/>
        <v>3</v>
      </c>
      <c r="E20">
        <f t="shared" si="1"/>
        <v>3</v>
      </c>
      <c r="F20" s="15">
        <f t="shared" si="2"/>
        <v>3</v>
      </c>
      <c r="G20" t="str">
        <f t="shared" si="3"/>
        <v>B</v>
      </c>
      <c r="L20" s="6"/>
      <c r="M20" s="13"/>
    </row>
    <row r="21" spans="1:13" x14ac:dyDescent="0.25">
      <c r="A21">
        <v>1161</v>
      </c>
      <c r="B21" t="str">
        <f>VLOOKUP(A21, Sales!$A$2:$E$206, 5, FALSE)</f>
        <v>B</v>
      </c>
      <c r="C21" t="str">
        <f>VLOOKUP(A21, Hits!$A$2:$E$206, 5, FALSE)</f>
        <v>C</v>
      </c>
      <c r="D21">
        <f t="shared" si="0"/>
        <v>3</v>
      </c>
      <c r="E21">
        <f t="shared" si="1"/>
        <v>2</v>
      </c>
      <c r="F21" s="15">
        <f t="shared" si="2"/>
        <v>2.6500000000000004</v>
      </c>
      <c r="G21" t="str">
        <f t="shared" si="3"/>
        <v>B</v>
      </c>
      <c r="L21" s="6"/>
      <c r="M21" s="13"/>
    </row>
    <row r="22" spans="1:13" x14ac:dyDescent="0.25">
      <c r="A22">
        <v>1167</v>
      </c>
      <c r="B22" t="str">
        <f>VLOOKUP(A22, Sales!$A$2:$E$206, 5, FALSE)</f>
        <v>B</v>
      </c>
      <c r="C22" t="str">
        <f>VLOOKUP(A22, Hits!$A$2:$E$206, 5, FALSE)</f>
        <v>A</v>
      </c>
      <c r="D22">
        <f t="shared" si="0"/>
        <v>3</v>
      </c>
      <c r="E22">
        <f t="shared" si="1"/>
        <v>4</v>
      </c>
      <c r="F22" s="15">
        <f t="shared" si="2"/>
        <v>3.35</v>
      </c>
      <c r="G22" t="str">
        <f t="shared" si="3"/>
        <v>A</v>
      </c>
      <c r="J22">
        <v>0</v>
      </c>
      <c r="K22" t="s">
        <v>215</v>
      </c>
      <c r="L22" s="6"/>
      <c r="M22" s="13"/>
    </row>
    <row r="23" spans="1:13" x14ac:dyDescent="0.25">
      <c r="A23">
        <v>1207</v>
      </c>
      <c r="B23" t="str">
        <f>VLOOKUP(A23, Sales!$A$2:$E$206, 5, FALSE)</f>
        <v>B</v>
      </c>
      <c r="C23" t="str">
        <f>VLOOKUP(A23, Hits!$A$2:$E$206, 5, FALSE)</f>
        <v>B</v>
      </c>
      <c r="D23">
        <f t="shared" si="0"/>
        <v>3</v>
      </c>
      <c r="E23">
        <f t="shared" si="1"/>
        <v>3</v>
      </c>
      <c r="F23" s="15">
        <f t="shared" si="2"/>
        <v>3</v>
      </c>
      <c r="G23" t="str">
        <f t="shared" si="3"/>
        <v>B</v>
      </c>
      <c r="J23">
        <v>1.75</v>
      </c>
      <c r="K23" t="s">
        <v>214</v>
      </c>
      <c r="L23" s="6"/>
      <c r="M23" s="6"/>
    </row>
    <row r="24" spans="1:13" x14ac:dyDescent="0.25">
      <c r="A24">
        <v>1194</v>
      </c>
      <c r="B24" t="str">
        <f>VLOOKUP(A24, Sales!$A$2:$E$206, 5, FALSE)</f>
        <v>B</v>
      </c>
      <c r="C24" t="str">
        <f>VLOOKUP(A24, Hits!$A$2:$E$206, 5, FALSE)</f>
        <v>B</v>
      </c>
      <c r="D24">
        <f t="shared" si="0"/>
        <v>3</v>
      </c>
      <c r="E24">
        <f t="shared" si="1"/>
        <v>3</v>
      </c>
      <c r="F24" s="15">
        <f t="shared" si="2"/>
        <v>3</v>
      </c>
      <c r="G24" t="str">
        <f t="shared" si="3"/>
        <v>B</v>
      </c>
      <c r="J24">
        <v>2.5</v>
      </c>
      <c r="K24" t="s">
        <v>213</v>
      </c>
      <c r="L24" s="8"/>
      <c r="M24" s="8"/>
    </row>
    <row r="25" spans="1:13" x14ac:dyDescent="0.25">
      <c r="A25">
        <v>1179</v>
      </c>
      <c r="B25" t="str">
        <f>VLOOKUP(A25, Sales!$A$2:$E$206, 5, FALSE)</f>
        <v>B</v>
      </c>
      <c r="C25" t="str">
        <f>VLOOKUP(A25, Hits!$A$2:$E$206, 5, FALSE)</f>
        <v>A</v>
      </c>
      <c r="D25">
        <f t="shared" si="0"/>
        <v>3</v>
      </c>
      <c r="E25">
        <f t="shared" si="1"/>
        <v>4</v>
      </c>
      <c r="F25" s="15">
        <f t="shared" si="2"/>
        <v>3.35</v>
      </c>
      <c r="G25" t="str">
        <f t="shared" si="3"/>
        <v>A</v>
      </c>
      <c r="J25">
        <v>3.25</v>
      </c>
      <c r="K25" t="s">
        <v>212</v>
      </c>
      <c r="L25" s="6"/>
      <c r="M25" s="17"/>
    </row>
    <row r="26" spans="1:13" x14ac:dyDescent="0.25">
      <c r="A26">
        <v>1206</v>
      </c>
      <c r="B26" t="str">
        <f>VLOOKUP(A26, Sales!$A$2:$E$206, 5, FALSE)</f>
        <v>B</v>
      </c>
      <c r="C26" t="str">
        <f>VLOOKUP(A26, Hits!$A$2:$E$206, 5, FALSE)</f>
        <v>C</v>
      </c>
      <c r="D26">
        <f t="shared" si="0"/>
        <v>3</v>
      </c>
      <c r="E26">
        <f t="shared" si="1"/>
        <v>2</v>
      </c>
      <c r="F26" s="15">
        <f t="shared" si="2"/>
        <v>2.6500000000000004</v>
      </c>
      <c r="G26" t="str">
        <f t="shared" si="3"/>
        <v>B</v>
      </c>
      <c r="L26" s="6"/>
      <c r="M26" s="17"/>
    </row>
    <row r="27" spans="1:13" x14ac:dyDescent="0.25">
      <c r="A27">
        <v>1166</v>
      </c>
      <c r="B27" t="str">
        <f>VLOOKUP(A27, Sales!$A$2:$E$206, 5, FALSE)</f>
        <v>B</v>
      </c>
      <c r="C27" t="str">
        <f>VLOOKUP(A27, Hits!$A$2:$E$206, 5, FALSE)</f>
        <v>B</v>
      </c>
      <c r="D27">
        <f t="shared" si="0"/>
        <v>3</v>
      </c>
      <c r="E27">
        <f t="shared" si="1"/>
        <v>3</v>
      </c>
      <c r="F27" s="15">
        <f t="shared" si="2"/>
        <v>3</v>
      </c>
      <c r="G27" t="str">
        <f t="shared" si="3"/>
        <v>B</v>
      </c>
      <c r="L27" s="6"/>
      <c r="M27" s="10"/>
    </row>
    <row r="28" spans="1:13" x14ac:dyDescent="0.25">
      <c r="A28">
        <v>1211</v>
      </c>
      <c r="B28" t="str">
        <f>VLOOKUP(A28, Sales!$A$2:$E$206, 5, FALSE)</f>
        <v>B</v>
      </c>
      <c r="C28" t="str">
        <f>VLOOKUP(A28, Hits!$A$2:$E$206, 5, FALSE)</f>
        <v>B</v>
      </c>
      <c r="D28">
        <f t="shared" si="0"/>
        <v>3</v>
      </c>
      <c r="E28">
        <f t="shared" si="1"/>
        <v>3</v>
      </c>
      <c r="F28" s="15">
        <f t="shared" si="2"/>
        <v>3</v>
      </c>
      <c r="G28" t="str">
        <f t="shared" si="3"/>
        <v>B</v>
      </c>
      <c r="L28" s="6"/>
      <c r="M28" s="18"/>
    </row>
    <row r="29" spans="1:13" x14ac:dyDescent="0.25">
      <c r="A29">
        <v>1171</v>
      </c>
      <c r="B29" t="str">
        <f>VLOOKUP(A29, Sales!$A$2:$E$206, 5, FALSE)</f>
        <v>B</v>
      </c>
      <c r="C29" t="str">
        <f>VLOOKUP(A29, Hits!$A$2:$E$206, 5, FALSE)</f>
        <v>A</v>
      </c>
      <c r="D29">
        <f t="shared" si="0"/>
        <v>3</v>
      </c>
      <c r="E29">
        <f t="shared" si="1"/>
        <v>4</v>
      </c>
      <c r="F29" s="15">
        <f t="shared" si="2"/>
        <v>3.35</v>
      </c>
      <c r="G29" t="str">
        <f t="shared" si="3"/>
        <v>A</v>
      </c>
    </row>
    <row r="30" spans="1:13" x14ac:dyDescent="0.25">
      <c r="A30">
        <v>1210</v>
      </c>
      <c r="B30" t="str">
        <f>VLOOKUP(A30, Sales!$A$2:$E$206, 5, FALSE)</f>
        <v>B</v>
      </c>
      <c r="C30" t="str">
        <f>VLOOKUP(A30, Hits!$A$2:$E$206, 5, FALSE)</f>
        <v>B</v>
      </c>
      <c r="D30">
        <f t="shared" si="0"/>
        <v>3</v>
      </c>
      <c r="E30">
        <f t="shared" si="1"/>
        <v>3</v>
      </c>
      <c r="F30" s="15">
        <f t="shared" si="2"/>
        <v>3</v>
      </c>
      <c r="G30" t="str">
        <f t="shared" si="3"/>
        <v>B</v>
      </c>
    </row>
    <row r="31" spans="1:13" x14ac:dyDescent="0.25">
      <c r="A31">
        <v>1201</v>
      </c>
      <c r="B31" t="str">
        <f>VLOOKUP(A31, Sales!$A$2:$E$206, 5, FALSE)</f>
        <v>B</v>
      </c>
      <c r="C31" t="str">
        <f>VLOOKUP(A31, Hits!$A$2:$E$206, 5, FALSE)</f>
        <v>A</v>
      </c>
      <c r="D31">
        <f t="shared" si="0"/>
        <v>3</v>
      </c>
      <c r="E31">
        <f t="shared" si="1"/>
        <v>4</v>
      </c>
      <c r="F31" s="15">
        <f t="shared" si="2"/>
        <v>3.35</v>
      </c>
      <c r="G31" t="str">
        <f t="shared" si="3"/>
        <v>A</v>
      </c>
    </row>
    <row r="32" spans="1:13" x14ac:dyDescent="0.25">
      <c r="A32">
        <v>1036</v>
      </c>
      <c r="B32" t="str">
        <f>VLOOKUP(A32, Sales!$A$2:$E$206, 5, FALSE)</f>
        <v>B</v>
      </c>
      <c r="C32" t="str">
        <f>VLOOKUP(A32, Hits!$A$2:$E$206, 5, FALSE)</f>
        <v>C</v>
      </c>
      <c r="D32">
        <f t="shared" si="0"/>
        <v>3</v>
      </c>
      <c r="E32">
        <f t="shared" si="1"/>
        <v>2</v>
      </c>
      <c r="F32" s="15">
        <f t="shared" si="2"/>
        <v>2.6500000000000004</v>
      </c>
      <c r="G32" t="str">
        <f t="shared" si="3"/>
        <v>B</v>
      </c>
    </row>
    <row r="33" spans="1:7" x14ac:dyDescent="0.25">
      <c r="A33">
        <v>1165</v>
      </c>
      <c r="B33" t="str">
        <f>VLOOKUP(A33, Sales!$A$2:$E$206, 5, FALSE)</f>
        <v>B</v>
      </c>
      <c r="C33" t="str">
        <f>VLOOKUP(A33, Hits!$A$2:$E$206, 5, FALSE)</f>
        <v>A</v>
      </c>
      <c r="D33">
        <f t="shared" si="0"/>
        <v>3</v>
      </c>
      <c r="E33">
        <f t="shared" si="1"/>
        <v>4</v>
      </c>
      <c r="F33" s="15">
        <f t="shared" si="2"/>
        <v>3.35</v>
      </c>
      <c r="G33" t="str">
        <f t="shared" si="3"/>
        <v>A</v>
      </c>
    </row>
    <row r="34" spans="1:7" x14ac:dyDescent="0.25">
      <c r="A34">
        <v>1199</v>
      </c>
      <c r="B34" t="str">
        <f>VLOOKUP(A34, Sales!$A$2:$E$206, 5, FALSE)</f>
        <v>B</v>
      </c>
      <c r="C34" t="str">
        <f>VLOOKUP(A34, Hits!$A$2:$E$206, 5, FALSE)</f>
        <v>C</v>
      </c>
      <c r="D34">
        <f t="shared" si="0"/>
        <v>3</v>
      </c>
      <c r="E34">
        <f t="shared" si="1"/>
        <v>2</v>
      </c>
      <c r="F34" s="15">
        <f t="shared" si="2"/>
        <v>2.6500000000000004</v>
      </c>
      <c r="G34" t="str">
        <f t="shared" si="3"/>
        <v>B</v>
      </c>
    </row>
    <row r="35" spans="1:7" x14ac:dyDescent="0.25">
      <c r="A35">
        <v>1091</v>
      </c>
      <c r="B35" t="str">
        <f>VLOOKUP(A35, Sales!$A$2:$E$206, 5, FALSE)</f>
        <v>B</v>
      </c>
      <c r="C35" t="str">
        <f>VLOOKUP(A35, Hits!$A$2:$E$206, 5, FALSE)</f>
        <v>A</v>
      </c>
      <c r="D35">
        <f t="shared" si="0"/>
        <v>3</v>
      </c>
      <c r="E35">
        <f t="shared" si="1"/>
        <v>4</v>
      </c>
      <c r="F35" s="15">
        <f t="shared" si="2"/>
        <v>3.35</v>
      </c>
      <c r="G35" t="str">
        <f t="shared" si="3"/>
        <v>A</v>
      </c>
    </row>
    <row r="36" spans="1:7" x14ac:dyDescent="0.25">
      <c r="A36">
        <v>1162</v>
      </c>
      <c r="B36" t="str">
        <f>VLOOKUP(A36, Sales!$A$2:$E$206, 5, FALSE)</f>
        <v>B</v>
      </c>
      <c r="C36" t="str">
        <f>VLOOKUP(A36, Hits!$A$2:$E$206, 5, FALSE)</f>
        <v>B</v>
      </c>
      <c r="D36">
        <f t="shared" si="0"/>
        <v>3</v>
      </c>
      <c r="E36">
        <f t="shared" si="1"/>
        <v>3</v>
      </c>
      <c r="F36" s="15">
        <f t="shared" si="2"/>
        <v>3</v>
      </c>
      <c r="G36" t="str">
        <f t="shared" si="3"/>
        <v>B</v>
      </c>
    </row>
    <row r="37" spans="1:7" x14ac:dyDescent="0.25">
      <c r="A37">
        <v>1176</v>
      </c>
      <c r="B37" t="str">
        <f>VLOOKUP(A37, Sales!$A$2:$E$206, 5, FALSE)</f>
        <v>B</v>
      </c>
      <c r="C37" t="str">
        <f>VLOOKUP(A37, Hits!$A$2:$E$206, 5, FALSE)</f>
        <v>A</v>
      </c>
      <c r="D37">
        <f t="shared" si="0"/>
        <v>3</v>
      </c>
      <c r="E37">
        <f t="shared" si="1"/>
        <v>4</v>
      </c>
      <c r="F37" s="15">
        <f t="shared" si="2"/>
        <v>3.35</v>
      </c>
      <c r="G37" t="str">
        <f t="shared" si="3"/>
        <v>A</v>
      </c>
    </row>
    <row r="38" spans="1:7" x14ac:dyDescent="0.25">
      <c r="A38">
        <v>1177</v>
      </c>
      <c r="B38" t="str">
        <f>VLOOKUP(A38, Sales!$A$2:$E$206, 5, FALSE)</f>
        <v>B</v>
      </c>
      <c r="C38" t="str">
        <f>VLOOKUP(A38, Hits!$A$2:$E$206, 5, FALSE)</f>
        <v>B</v>
      </c>
      <c r="D38">
        <f t="shared" si="0"/>
        <v>3</v>
      </c>
      <c r="E38">
        <f t="shared" si="1"/>
        <v>3</v>
      </c>
      <c r="F38" s="15">
        <f t="shared" si="2"/>
        <v>3</v>
      </c>
      <c r="G38" t="str">
        <f t="shared" si="3"/>
        <v>B</v>
      </c>
    </row>
    <row r="39" spans="1:7" x14ac:dyDescent="0.25">
      <c r="A39">
        <v>1037</v>
      </c>
      <c r="B39" t="str">
        <f>VLOOKUP(A39, Sales!$A$2:$E$206, 5, FALSE)</f>
        <v>B</v>
      </c>
      <c r="C39" t="str">
        <f>VLOOKUP(A39, Hits!$A$2:$E$206, 5, FALSE)</f>
        <v>D</v>
      </c>
      <c r="D39">
        <f t="shared" si="0"/>
        <v>3</v>
      </c>
      <c r="E39">
        <f t="shared" si="1"/>
        <v>1</v>
      </c>
      <c r="F39" s="15">
        <f t="shared" si="2"/>
        <v>2.3000000000000003</v>
      </c>
      <c r="G39" t="str">
        <f t="shared" si="3"/>
        <v>C</v>
      </c>
    </row>
    <row r="40" spans="1:7" x14ac:dyDescent="0.25">
      <c r="A40">
        <v>1163</v>
      </c>
      <c r="B40" t="str">
        <f>VLOOKUP(A40, Sales!$A$2:$E$206, 5, FALSE)</f>
        <v>B</v>
      </c>
      <c r="C40" t="str">
        <f>VLOOKUP(A40, Hits!$A$2:$E$206, 5, FALSE)</f>
        <v>B</v>
      </c>
      <c r="D40">
        <f t="shared" si="0"/>
        <v>3</v>
      </c>
      <c r="E40">
        <f t="shared" si="1"/>
        <v>3</v>
      </c>
      <c r="F40" s="15">
        <f t="shared" si="2"/>
        <v>3</v>
      </c>
      <c r="G40" t="str">
        <f t="shared" si="3"/>
        <v>B</v>
      </c>
    </row>
    <row r="41" spans="1:7" x14ac:dyDescent="0.25">
      <c r="A41">
        <v>1202</v>
      </c>
      <c r="B41" t="str">
        <f>VLOOKUP(A41, Sales!$A$2:$E$206, 5, FALSE)</f>
        <v>B</v>
      </c>
      <c r="C41" t="str">
        <f>VLOOKUP(A41, Hits!$A$2:$E$206, 5, FALSE)</f>
        <v>C</v>
      </c>
      <c r="D41">
        <f t="shared" si="0"/>
        <v>3</v>
      </c>
      <c r="E41">
        <f t="shared" si="1"/>
        <v>2</v>
      </c>
      <c r="F41" s="15">
        <f t="shared" si="2"/>
        <v>2.6500000000000004</v>
      </c>
      <c r="G41" t="str">
        <f t="shared" si="3"/>
        <v>B</v>
      </c>
    </row>
    <row r="42" spans="1:7" x14ac:dyDescent="0.25">
      <c r="A42">
        <v>1070</v>
      </c>
      <c r="B42" t="str">
        <f>VLOOKUP(A42, Sales!$A$2:$E$206, 5, FALSE)</f>
        <v>C</v>
      </c>
      <c r="C42" t="str">
        <f>VLOOKUP(A42, Hits!$A$2:$E$206, 5, FALSE)</f>
        <v>D</v>
      </c>
      <c r="D42">
        <f t="shared" si="0"/>
        <v>2</v>
      </c>
      <c r="E42">
        <f t="shared" si="1"/>
        <v>1</v>
      </c>
      <c r="F42" s="15">
        <f t="shared" si="2"/>
        <v>1.65</v>
      </c>
      <c r="G42" t="str">
        <f t="shared" si="3"/>
        <v>D</v>
      </c>
    </row>
    <row r="43" spans="1:7" x14ac:dyDescent="0.25">
      <c r="A43">
        <v>1209</v>
      </c>
      <c r="B43" t="str">
        <f>VLOOKUP(A43, Sales!$A$2:$E$206, 5, FALSE)</f>
        <v>C</v>
      </c>
      <c r="C43" t="str">
        <f>VLOOKUP(A43, Hits!$A$2:$E$206, 5, FALSE)</f>
        <v>C</v>
      </c>
      <c r="D43">
        <f t="shared" si="0"/>
        <v>2</v>
      </c>
      <c r="E43">
        <f t="shared" si="1"/>
        <v>2</v>
      </c>
      <c r="F43" s="15">
        <f t="shared" si="2"/>
        <v>2</v>
      </c>
      <c r="G43" t="str">
        <f t="shared" si="3"/>
        <v>C</v>
      </c>
    </row>
    <row r="44" spans="1:7" x14ac:dyDescent="0.25">
      <c r="A44">
        <v>1183</v>
      </c>
      <c r="B44" t="str">
        <f>VLOOKUP(A44, Sales!$A$2:$E$206, 5, FALSE)</f>
        <v>C</v>
      </c>
      <c r="C44" t="str">
        <f>VLOOKUP(A44, Hits!$A$2:$E$206, 5, FALSE)</f>
        <v>B</v>
      </c>
      <c r="D44">
        <f t="shared" si="0"/>
        <v>2</v>
      </c>
      <c r="E44">
        <f t="shared" si="1"/>
        <v>3</v>
      </c>
      <c r="F44" s="15">
        <f t="shared" si="2"/>
        <v>2.3499999999999996</v>
      </c>
      <c r="G44" t="str">
        <f t="shared" si="3"/>
        <v>C</v>
      </c>
    </row>
    <row r="45" spans="1:7" x14ac:dyDescent="0.25">
      <c r="A45">
        <v>1172</v>
      </c>
      <c r="B45" t="str">
        <f>VLOOKUP(A45, Sales!$A$2:$E$206, 5, FALSE)</f>
        <v>C</v>
      </c>
      <c r="C45" t="str">
        <f>VLOOKUP(A45, Hits!$A$2:$E$206, 5, FALSE)</f>
        <v>C</v>
      </c>
      <c r="D45">
        <f t="shared" si="0"/>
        <v>2</v>
      </c>
      <c r="E45">
        <f t="shared" si="1"/>
        <v>2</v>
      </c>
      <c r="F45" s="15">
        <f t="shared" si="2"/>
        <v>2</v>
      </c>
      <c r="G45" t="str">
        <f t="shared" si="3"/>
        <v>C</v>
      </c>
    </row>
    <row r="46" spans="1:7" x14ac:dyDescent="0.25">
      <c r="A46">
        <v>1204</v>
      </c>
      <c r="B46" t="str">
        <f>VLOOKUP(A46, Sales!$A$2:$E$206, 5, FALSE)</f>
        <v>C</v>
      </c>
      <c r="C46" t="str">
        <f>VLOOKUP(A46, Hits!$A$2:$E$206, 5, FALSE)</f>
        <v>B</v>
      </c>
      <c r="D46">
        <f t="shared" si="0"/>
        <v>2</v>
      </c>
      <c r="E46">
        <f t="shared" si="1"/>
        <v>3</v>
      </c>
      <c r="F46" s="15">
        <f t="shared" si="2"/>
        <v>2.3499999999999996</v>
      </c>
      <c r="G46" t="str">
        <f t="shared" si="3"/>
        <v>C</v>
      </c>
    </row>
    <row r="47" spans="1:7" x14ac:dyDescent="0.25">
      <c r="A47">
        <v>1203</v>
      </c>
      <c r="B47" t="str">
        <f>VLOOKUP(A47, Sales!$A$2:$E$206, 5, FALSE)</f>
        <v>C</v>
      </c>
      <c r="C47" t="str">
        <f>VLOOKUP(A47, Hits!$A$2:$E$206, 5, FALSE)</f>
        <v>B</v>
      </c>
      <c r="D47">
        <f t="shared" si="0"/>
        <v>2</v>
      </c>
      <c r="E47">
        <f t="shared" si="1"/>
        <v>3</v>
      </c>
      <c r="F47" s="15">
        <f t="shared" si="2"/>
        <v>2.3499999999999996</v>
      </c>
      <c r="G47" t="str">
        <f t="shared" si="3"/>
        <v>C</v>
      </c>
    </row>
    <row r="48" spans="1:7" x14ac:dyDescent="0.25">
      <c r="A48">
        <v>1200</v>
      </c>
      <c r="B48" t="str">
        <f>VLOOKUP(A48, Sales!$A$2:$E$206, 5, FALSE)</f>
        <v>C</v>
      </c>
      <c r="C48" t="str">
        <f>VLOOKUP(A48, Hits!$A$2:$E$206, 5, FALSE)</f>
        <v>B</v>
      </c>
      <c r="D48">
        <f t="shared" si="0"/>
        <v>2</v>
      </c>
      <c r="E48">
        <f t="shared" si="1"/>
        <v>3</v>
      </c>
      <c r="F48" s="15">
        <f t="shared" si="2"/>
        <v>2.3499999999999996</v>
      </c>
      <c r="G48" t="str">
        <f t="shared" si="3"/>
        <v>C</v>
      </c>
    </row>
    <row r="49" spans="1:7" x14ac:dyDescent="0.25">
      <c r="A49">
        <v>1169</v>
      </c>
      <c r="B49" t="str">
        <f>VLOOKUP(A49, Sales!$A$2:$E$206, 5, FALSE)</f>
        <v>C</v>
      </c>
      <c r="C49" t="str">
        <f>VLOOKUP(A49, Hits!$A$2:$E$206, 5, FALSE)</f>
        <v>B</v>
      </c>
      <c r="D49">
        <f t="shared" si="0"/>
        <v>2</v>
      </c>
      <c r="E49">
        <f t="shared" si="1"/>
        <v>3</v>
      </c>
      <c r="F49" s="15">
        <f t="shared" si="2"/>
        <v>2.3499999999999996</v>
      </c>
      <c r="G49" t="str">
        <f t="shared" si="3"/>
        <v>C</v>
      </c>
    </row>
    <row r="50" spans="1:7" x14ac:dyDescent="0.25">
      <c r="A50">
        <v>1182</v>
      </c>
      <c r="B50" t="str">
        <f>VLOOKUP(A50, Sales!$A$2:$E$206, 5, FALSE)</f>
        <v>C</v>
      </c>
      <c r="C50" t="str">
        <f>VLOOKUP(A50, Hits!$A$2:$E$206, 5, FALSE)</f>
        <v>B</v>
      </c>
      <c r="D50">
        <f t="shared" si="0"/>
        <v>2</v>
      </c>
      <c r="E50">
        <f t="shared" si="1"/>
        <v>3</v>
      </c>
      <c r="F50" s="15">
        <f t="shared" si="2"/>
        <v>2.3499999999999996</v>
      </c>
      <c r="G50" t="str">
        <f t="shared" si="3"/>
        <v>C</v>
      </c>
    </row>
    <row r="51" spans="1:7" x14ac:dyDescent="0.25">
      <c r="A51">
        <v>1187</v>
      </c>
      <c r="B51" t="str">
        <f>VLOOKUP(A51, Sales!$A$2:$E$206, 5, FALSE)</f>
        <v>C</v>
      </c>
      <c r="C51" t="str">
        <f>VLOOKUP(A51, Hits!$A$2:$E$206, 5, FALSE)</f>
        <v>B</v>
      </c>
      <c r="D51">
        <f t="shared" si="0"/>
        <v>2</v>
      </c>
      <c r="E51">
        <f t="shared" si="1"/>
        <v>3</v>
      </c>
      <c r="F51" s="15">
        <f t="shared" si="2"/>
        <v>2.3499999999999996</v>
      </c>
      <c r="G51" t="str">
        <f t="shared" si="3"/>
        <v>C</v>
      </c>
    </row>
    <row r="52" spans="1:7" x14ac:dyDescent="0.25">
      <c r="A52">
        <v>1186</v>
      </c>
      <c r="B52" t="str">
        <f>VLOOKUP(A52, Sales!$A$2:$E$206, 5, FALSE)</f>
        <v>C</v>
      </c>
      <c r="C52" t="str">
        <f>VLOOKUP(A52, Hits!$A$2:$E$206, 5, FALSE)</f>
        <v>B</v>
      </c>
      <c r="D52">
        <f t="shared" si="0"/>
        <v>2</v>
      </c>
      <c r="E52">
        <f t="shared" si="1"/>
        <v>3</v>
      </c>
      <c r="F52" s="15">
        <f t="shared" si="2"/>
        <v>2.3499999999999996</v>
      </c>
      <c r="G52" t="str">
        <f t="shared" si="3"/>
        <v>C</v>
      </c>
    </row>
    <row r="53" spans="1:7" x14ac:dyDescent="0.25">
      <c r="A53">
        <v>1160</v>
      </c>
      <c r="B53" t="str">
        <f>VLOOKUP(A53, Sales!$A$2:$E$206, 5, FALSE)</f>
        <v>C</v>
      </c>
      <c r="C53" t="str">
        <f>VLOOKUP(A53, Hits!$A$2:$E$206, 5, FALSE)</f>
        <v>B</v>
      </c>
      <c r="D53">
        <f t="shared" si="0"/>
        <v>2</v>
      </c>
      <c r="E53">
        <f t="shared" si="1"/>
        <v>3</v>
      </c>
      <c r="F53" s="15">
        <f t="shared" si="2"/>
        <v>2.3499999999999996</v>
      </c>
      <c r="G53" t="str">
        <f t="shared" si="3"/>
        <v>C</v>
      </c>
    </row>
    <row r="54" spans="1:7" x14ac:dyDescent="0.25">
      <c r="A54">
        <v>1197</v>
      </c>
      <c r="B54" t="str">
        <f>VLOOKUP(A54, Sales!$A$2:$E$206, 5, FALSE)</f>
        <v>C</v>
      </c>
      <c r="C54" t="str">
        <f>VLOOKUP(A54, Hits!$A$2:$E$206, 5, FALSE)</f>
        <v>C</v>
      </c>
      <c r="D54">
        <f t="shared" si="0"/>
        <v>2</v>
      </c>
      <c r="E54">
        <f t="shared" si="1"/>
        <v>2</v>
      </c>
      <c r="F54" s="15">
        <f t="shared" si="2"/>
        <v>2</v>
      </c>
      <c r="G54" t="str">
        <f t="shared" si="3"/>
        <v>C</v>
      </c>
    </row>
    <row r="55" spans="1:7" x14ac:dyDescent="0.25">
      <c r="A55">
        <v>1174</v>
      </c>
      <c r="B55" t="str">
        <f>VLOOKUP(A55, Sales!$A$2:$E$206, 5, FALSE)</f>
        <v>C</v>
      </c>
      <c r="C55" t="str">
        <f>VLOOKUP(A55, Hits!$A$2:$E$206, 5, FALSE)</f>
        <v>B</v>
      </c>
      <c r="D55">
        <f t="shared" si="0"/>
        <v>2</v>
      </c>
      <c r="E55">
        <f t="shared" si="1"/>
        <v>3</v>
      </c>
      <c r="F55" s="15">
        <f t="shared" si="2"/>
        <v>2.3499999999999996</v>
      </c>
      <c r="G55" t="str">
        <f t="shared" si="3"/>
        <v>C</v>
      </c>
    </row>
    <row r="56" spans="1:7" x14ac:dyDescent="0.25">
      <c r="A56">
        <v>1040</v>
      </c>
      <c r="B56" t="str">
        <f>VLOOKUP(A56, Sales!$A$2:$E$206, 5, FALSE)</f>
        <v>C</v>
      </c>
      <c r="C56" t="str">
        <f>VLOOKUP(A56, Hits!$A$2:$E$206, 5, FALSE)</f>
        <v>B</v>
      </c>
      <c r="D56">
        <f t="shared" si="0"/>
        <v>2</v>
      </c>
      <c r="E56">
        <f t="shared" si="1"/>
        <v>3</v>
      </c>
      <c r="F56" s="15">
        <f t="shared" si="2"/>
        <v>2.3499999999999996</v>
      </c>
      <c r="G56" t="str">
        <f t="shared" si="3"/>
        <v>C</v>
      </c>
    </row>
    <row r="57" spans="1:7" x14ac:dyDescent="0.25">
      <c r="A57">
        <v>1173</v>
      </c>
      <c r="B57" t="str">
        <f>VLOOKUP(A57, Sales!$A$2:$E$206, 5, FALSE)</f>
        <v>C</v>
      </c>
      <c r="C57" t="str">
        <f>VLOOKUP(A57, Hits!$A$2:$E$206, 5, FALSE)</f>
        <v>B</v>
      </c>
      <c r="D57">
        <f t="shared" si="0"/>
        <v>2</v>
      </c>
      <c r="E57">
        <f t="shared" si="1"/>
        <v>3</v>
      </c>
      <c r="F57" s="15">
        <f t="shared" si="2"/>
        <v>2.3499999999999996</v>
      </c>
      <c r="G57" t="str">
        <f t="shared" si="3"/>
        <v>C</v>
      </c>
    </row>
    <row r="58" spans="1:7" x14ac:dyDescent="0.25">
      <c r="A58">
        <v>1212</v>
      </c>
      <c r="B58" t="str">
        <f>VLOOKUP(A58, Sales!$A$2:$E$206, 5, FALSE)</f>
        <v>C</v>
      </c>
      <c r="C58" t="str">
        <f>VLOOKUP(A58, Hits!$A$2:$E$206, 5, FALSE)</f>
        <v>C</v>
      </c>
      <c r="D58">
        <f t="shared" si="0"/>
        <v>2</v>
      </c>
      <c r="E58">
        <f t="shared" si="1"/>
        <v>2</v>
      </c>
      <c r="F58" s="15">
        <f t="shared" si="2"/>
        <v>2</v>
      </c>
      <c r="G58" t="str">
        <f t="shared" si="3"/>
        <v>C</v>
      </c>
    </row>
    <row r="59" spans="1:7" x14ac:dyDescent="0.25">
      <c r="A59">
        <v>1181</v>
      </c>
      <c r="B59" t="str">
        <f>VLOOKUP(A59, Sales!$A$2:$E$206, 5, FALSE)</f>
        <v>C</v>
      </c>
      <c r="C59" t="str">
        <f>VLOOKUP(A59, Hits!$A$2:$E$206, 5, FALSE)</f>
        <v>C</v>
      </c>
      <c r="D59">
        <f t="shared" si="0"/>
        <v>2</v>
      </c>
      <c r="E59">
        <f t="shared" si="1"/>
        <v>2</v>
      </c>
      <c r="F59" s="15">
        <f t="shared" si="2"/>
        <v>2</v>
      </c>
      <c r="G59" t="str">
        <f t="shared" si="3"/>
        <v>C</v>
      </c>
    </row>
    <row r="60" spans="1:7" x14ac:dyDescent="0.25">
      <c r="A60">
        <v>1191</v>
      </c>
      <c r="B60" t="str">
        <f>VLOOKUP(A60, Sales!$A$2:$E$206, 5, FALSE)</f>
        <v>C</v>
      </c>
      <c r="C60" t="str">
        <f>VLOOKUP(A60, Hits!$A$2:$E$206, 5, FALSE)</f>
        <v>C</v>
      </c>
      <c r="D60">
        <f t="shared" si="0"/>
        <v>2</v>
      </c>
      <c r="E60">
        <f t="shared" si="1"/>
        <v>2</v>
      </c>
      <c r="F60" s="15">
        <f t="shared" si="2"/>
        <v>2</v>
      </c>
      <c r="G60" t="str">
        <f t="shared" si="3"/>
        <v>C</v>
      </c>
    </row>
    <row r="61" spans="1:7" x14ac:dyDescent="0.25">
      <c r="A61">
        <v>1185</v>
      </c>
      <c r="B61" t="str">
        <f>VLOOKUP(A61, Sales!$A$2:$E$206, 5, FALSE)</f>
        <v>C</v>
      </c>
      <c r="C61" t="str">
        <f>VLOOKUP(A61, Hits!$A$2:$E$206, 5, FALSE)</f>
        <v>C</v>
      </c>
      <c r="D61">
        <f t="shared" si="0"/>
        <v>2</v>
      </c>
      <c r="E61">
        <f t="shared" si="1"/>
        <v>2</v>
      </c>
      <c r="F61" s="15">
        <f t="shared" si="2"/>
        <v>2</v>
      </c>
      <c r="G61" t="str">
        <f t="shared" si="3"/>
        <v>C</v>
      </c>
    </row>
    <row r="62" spans="1:7" x14ac:dyDescent="0.25">
      <c r="A62">
        <v>1189</v>
      </c>
      <c r="B62" t="str">
        <f>VLOOKUP(A62, Sales!$A$2:$E$206, 5, FALSE)</f>
        <v>C</v>
      </c>
      <c r="C62" t="str">
        <f>VLOOKUP(A62, Hits!$A$2:$E$206, 5, FALSE)</f>
        <v>C</v>
      </c>
      <c r="D62">
        <f t="shared" si="0"/>
        <v>2</v>
      </c>
      <c r="E62">
        <f t="shared" si="1"/>
        <v>2</v>
      </c>
      <c r="F62" s="15">
        <f t="shared" si="2"/>
        <v>2</v>
      </c>
      <c r="G62" t="str">
        <f t="shared" si="3"/>
        <v>C</v>
      </c>
    </row>
    <row r="63" spans="1:7" x14ac:dyDescent="0.25">
      <c r="A63">
        <v>1195</v>
      </c>
      <c r="B63" t="str">
        <f>VLOOKUP(A63, Sales!$A$2:$E$206, 5, FALSE)</f>
        <v>C</v>
      </c>
      <c r="C63" t="str">
        <f>VLOOKUP(A63, Hits!$A$2:$E$206, 5, FALSE)</f>
        <v>C</v>
      </c>
      <c r="D63">
        <f t="shared" si="0"/>
        <v>2</v>
      </c>
      <c r="E63">
        <f t="shared" si="1"/>
        <v>2</v>
      </c>
      <c r="F63" s="15">
        <f t="shared" si="2"/>
        <v>2</v>
      </c>
      <c r="G63" t="str">
        <f t="shared" si="3"/>
        <v>C</v>
      </c>
    </row>
    <row r="64" spans="1:7" x14ac:dyDescent="0.25">
      <c r="A64">
        <v>1159</v>
      </c>
      <c r="B64" t="str">
        <f>VLOOKUP(A64, Sales!$A$2:$E$206, 5, FALSE)</f>
        <v>C</v>
      </c>
      <c r="C64" t="str">
        <f>VLOOKUP(A64, Hits!$A$2:$E$206, 5, FALSE)</f>
        <v>A</v>
      </c>
      <c r="D64">
        <f t="shared" si="0"/>
        <v>2</v>
      </c>
      <c r="E64">
        <f t="shared" si="1"/>
        <v>4</v>
      </c>
      <c r="F64" s="15">
        <f t="shared" si="2"/>
        <v>2.7</v>
      </c>
      <c r="G64" t="str">
        <f t="shared" si="3"/>
        <v>B</v>
      </c>
    </row>
    <row r="65" spans="1:7" x14ac:dyDescent="0.25">
      <c r="A65">
        <v>1150</v>
      </c>
      <c r="B65" t="str">
        <f>VLOOKUP(A65, Sales!$A$2:$E$206, 5, FALSE)</f>
        <v>D</v>
      </c>
      <c r="C65" t="str">
        <f>VLOOKUP(A65, Hits!$A$2:$E$206, 5, FALSE)</f>
        <v>B</v>
      </c>
      <c r="D65">
        <f t="shared" si="0"/>
        <v>1</v>
      </c>
      <c r="E65">
        <f t="shared" si="1"/>
        <v>3</v>
      </c>
      <c r="F65" s="15">
        <f t="shared" si="2"/>
        <v>1.6999999999999997</v>
      </c>
      <c r="G65" t="str">
        <f t="shared" si="3"/>
        <v>D</v>
      </c>
    </row>
    <row r="66" spans="1:7" x14ac:dyDescent="0.25">
      <c r="A66">
        <v>1175</v>
      </c>
      <c r="B66" t="str">
        <f>VLOOKUP(A66, Sales!$A$2:$E$206, 5, FALSE)</f>
        <v>D</v>
      </c>
      <c r="C66" t="str">
        <f>VLOOKUP(A66, Hits!$A$2:$E$206, 5, FALSE)</f>
        <v>B</v>
      </c>
      <c r="D66">
        <f t="shared" si="0"/>
        <v>1</v>
      </c>
      <c r="E66">
        <f t="shared" si="1"/>
        <v>3</v>
      </c>
      <c r="F66" s="15">
        <f t="shared" si="2"/>
        <v>1.6999999999999997</v>
      </c>
      <c r="G66" t="str">
        <f t="shared" si="3"/>
        <v>D</v>
      </c>
    </row>
    <row r="67" spans="1:7" x14ac:dyDescent="0.25">
      <c r="A67">
        <v>1151</v>
      </c>
      <c r="B67" t="str">
        <f>VLOOKUP(A67, Sales!$A$2:$E$206, 5, FALSE)</f>
        <v>D</v>
      </c>
      <c r="C67" t="str">
        <f>VLOOKUP(A67, Hits!$A$2:$E$206, 5, FALSE)</f>
        <v>B</v>
      </c>
      <c r="D67">
        <f t="shared" ref="D67:D130" si="4">VLOOKUP(B67, $J$9:$K$12, 2, FALSE)</f>
        <v>1</v>
      </c>
      <c r="E67">
        <f t="shared" ref="E67:E130" si="5">VLOOKUP(C67, $J$9:$K$12, 2, FALSE)</f>
        <v>3</v>
      </c>
      <c r="F67" s="15">
        <f t="shared" ref="F67:F130" si="6">D67*$K$4+E67*$K$5</f>
        <v>1.6999999999999997</v>
      </c>
      <c r="G67" t="str">
        <f t="shared" ref="G67:G130" si="7">VLOOKUP(F67, $J$22:$K$25, 2, 1)</f>
        <v>D</v>
      </c>
    </row>
    <row r="68" spans="1:7" x14ac:dyDescent="0.25">
      <c r="A68">
        <v>1152</v>
      </c>
      <c r="B68" t="str">
        <f>VLOOKUP(A68, Sales!$A$2:$E$206, 5, FALSE)</f>
        <v>D</v>
      </c>
      <c r="C68" t="str">
        <f>VLOOKUP(A68, Hits!$A$2:$E$206, 5, FALSE)</f>
        <v>B</v>
      </c>
      <c r="D68">
        <f t="shared" si="4"/>
        <v>1</v>
      </c>
      <c r="E68">
        <f t="shared" si="5"/>
        <v>3</v>
      </c>
      <c r="F68" s="15">
        <f t="shared" si="6"/>
        <v>1.6999999999999997</v>
      </c>
      <c r="G68" t="str">
        <f t="shared" si="7"/>
        <v>D</v>
      </c>
    </row>
    <row r="69" spans="1:7" x14ac:dyDescent="0.25">
      <c r="A69">
        <v>1156</v>
      </c>
      <c r="B69" t="str">
        <f>VLOOKUP(A69, Sales!$A$2:$E$206, 5, FALSE)</f>
        <v>D</v>
      </c>
      <c r="C69" t="str">
        <f>VLOOKUP(A69, Hits!$A$2:$E$206, 5, FALSE)</f>
        <v>B</v>
      </c>
      <c r="D69">
        <f t="shared" si="4"/>
        <v>1</v>
      </c>
      <c r="E69">
        <f t="shared" si="5"/>
        <v>3</v>
      </c>
      <c r="F69" s="15">
        <f t="shared" si="6"/>
        <v>1.6999999999999997</v>
      </c>
      <c r="G69" t="str">
        <f t="shared" si="7"/>
        <v>D</v>
      </c>
    </row>
    <row r="70" spans="1:7" x14ac:dyDescent="0.25">
      <c r="A70">
        <v>1184</v>
      </c>
      <c r="B70" t="str">
        <f>VLOOKUP(A70, Sales!$A$2:$E$206, 5, FALSE)</f>
        <v>D</v>
      </c>
      <c r="C70" t="str">
        <f>VLOOKUP(A70, Hits!$A$2:$E$206, 5, FALSE)</f>
        <v>D</v>
      </c>
      <c r="D70">
        <f t="shared" si="4"/>
        <v>1</v>
      </c>
      <c r="E70">
        <f t="shared" si="5"/>
        <v>1</v>
      </c>
      <c r="F70" s="15">
        <f t="shared" si="6"/>
        <v>1</v>
      </c>
      <c r="G70" t="str">
        <f t="shared" si="7"/>
        <v>D</v>
      </c>
    </row>
    <row r="71" spans="1:7" x14ac:dyDescent="0.25">
      <c r="A71">
        <v>1208</v>
      </c>
      <c r="B71" t="str">
        <f>VLOOKUP(A71, Sales!$A$2:$E$206, 5, FALSE)</f>
        <v>D</v>
      </c>
      <c r="C71" t="str">
        <f>VLOOKUP(A71, Hits!$A$2:$E$206, 5, FALSE)</f>
        <v>D</v>
      </c>
      <c r="D71">
        <f t="shared" si="4"/>
        <v>1</v>
      </c>
      <c r="E71">
        <f t="shared" si="5"/>
        <v>1</v>
      </c>
      <c r="F71" s="15">
        <f t="shared" si="6"/>
        <v>1</v>
      </c>
      <c r="G71" t="str">
        <f t="shared" si="7"/>
        <v>D</v>
      </c>
    </row>
    <row r="72" spans="1:7" x14ac:dyDescent="0.25">
      <c r="A72">
        <v>1154</v>
      </c>
      <c r="B72" t="str">
        <f>VLOOKUP(A72, Sales!$A$2:$E$206, 5, FALSE)</f>
        <v>D</v>
      </c>
      <c r="C72" t="str">
        <f>VLOOKUP(A72, Hits!$A$2:$E$206, 5, FALSE)</f>
        <v>B</v>
      </c>
      <c r="D72">
        <f t="shared" si="4"/>
        <v>1</v>
      </c>
      <c r="E72">
        <f t="shared" si="5"/>
        <v>3</v>
      </c>
      <c r="F72" s="15">
        <f t="shared" si="6"/>
        <v>1.6999999999999997</v>
      </c>
      <c r="G72" t="str">
        <f t="shared" si="7"/>
        <v>D</v>
      </c>
    </row>
    <row r="73" spans="1:7" x14ac:dyDescent="0.25">
      <c r="A73">
        <v>1157</v>
      </c>
      <c r="B73" t="str">
        <f>VLOOKUP(A73, Sales!$A$2:$E$206, 5, FALSE)</f>
        <v>D</v>
      </c>
      <c r="C73" t="str">
        <f>VLOOKUP(A73, Hits!$A$2:$E$206, 5, FALSE)</f>
        <v>C</v>
      </c>
      <c r="D73">
        <f t="shared" si="4"/>
        <v>1</v>
      </c>
      <c r="E73">
        <f t="shared" si="5"/>
        <v>2</v>
      </c>
      <c r="F73" s="15">
        <f t="shared" si="6"/>
        <v>1.35</v>
      </c>
      <c r="G73" t="str">
        <f t="shared" si="7"/>
        <v>D</v>
      </c>
    </row>
    <row r="74" spans="1:7" x14ac:dyDescent="0.25">
      <c r="A74">
        <v>1021</v>
      </c>
      <c r="B74" t="str">
        <f>VLOOKUP(A74, Sales!$A$2:$E$206, 5, FALSE)</f>
        <v>D</v>
      </c>
      <c r="C74" t="str">
        <f>VLOOKUP(A74, Hits!$A$2:$E$206, 5, FALSE)</f>
        <v>D</v>
      </c>
      <c r="D74">
        <f t="shared" si="4"/>
        <v>1</v>
      </c>
      <c r="E74">
        <f t="shared" si="5"/>
        <v>1</v>
      </c>
      <c r="F74" s="15">
        <f t="shared" si="6"/>
        <v>1</v>
      </c>
      <c r="G74" t="str">
        <f t="shared" si="7"/>
        <v>D</v>
      </c>
    </row>
    <row r="75" spans="1:7" x14ac:dyDescent="0.25">
      <c r="A75">
        <v>1188</v>
      </c>
      <c r="B75" t="str">
        <f>VLOOKUP(A75, Sales!$A$2:$E$206, 5, FALSE)</f>
        <v>D</v>
      </c>
      <c r="C75" t="str">
        <f>VLOOKUP(A75, Hits!$A$2:$E$206, 5, FALSE)</f>
        <v>D</v>
      </c>
      <c r="D75">
        <f t="shared" si="4"/>
        <v>1</v>
      </c>
      <c r="E75">
        <f t="shared" si="5"/>
        <v>1</v>
      </c>
      <c r="F75" s="15">
        <f t="shared" si="6"/>
        <v>1</v>
      </c>
      <c r="G75" t="str">
        <f t="shared" si="7"/>
        <v>D</v>
      </c>
    </row>
    <row r="76" spans="1:7" x14ac:dyDescent="0.25">
      <c r="A76">
        <v>1164</v>
      </c>
      <c r="B76" t="str">
        <f>VLOOKUP(A76, Sales!$A$2:$E$206, 5, FALSE)</f>
        <v>D</v>
      </c>
      <c r="C76" t="str">
        <f>VLOOKUP(A76, Hits!$A$2:$E$206, 5, FALSE)</f>
        <v>B</v>
      </c>
      <c r="D76">
        <f t="shared" si="4"/>
        <v>1</v>
      </c>
      <c r="E76">
        <f t="shared" si="5"/>
        <v>3</v>
      </c>
      <c r="F76" s="15">
        <f t="shared" si="6"/>
        <v>1.6999999999999997</v>
      </c>
      <c r="G76" t="str">
        <f t="shared" si="7"/>
        <v>D</v>
      </c>
    </row>
    <row r="77" spans="1:7" x14ac:dyDescent="0.25">
      <c r="A77">
        <v>1190</v>
      </c>
      <c r="B77" t="str">
        <f>VLOOKUP(A77, Sales!$A$2:$E$206, 5, FALSE)</f>
        <v>D</v>
      </c>
      <c r="C77" t="str">
        <f>VLOOKUP(A77, Hits!$A$2:$E$206, 5, FALSE)</f>
        <v>D</v>
      </c>
      <c r="D77">
        <f t="shared" si="4"/>
        <v>1</v>
      </c>
      <c r="E77">
        <f t="shared" si="5"/>
        <v>1</v>
      </c>
      <c r="F77" s="15">
        <f t="shared" si="6"/>
        <v>1</v>
      </c>
      <c r="G77" t="str">
        <f t="shared" si="7"/>
        <v>D</v>
      </c>
    </row>
    <row r="78" spans="1:7" x14ac:dyDescent="0.25">
      <c r="A78">
        <v>1131</v>
      </c>
      <c r="B78" t="str">
        <f>VLOOKUP(A78, Sales!$A$2:$E$206, 5, FALSE)</f>
        <v>D</v>
      </c>
      <c r="C78" t="str">
        <f>VLOOKUP(A78, Hits!$A$2:$E$206, 5, FALSE)</f>
        <v>D</v>
      </c>
      <c r="D78">
        <f t="shared" si="4"/>
        <v>1</v>
      </c>
      <c r="E78">
        <f t="shared" si="5"/>
        <v>1</v>
      </c>
      <c r="F78" s="15">
        <f t="shared" si="6"/>
        <v>1</v>
      </c>
      <c r="G78" t="str">
        <f t="shared" si="7"/>
        <v>D</v>
      </c>
    </row>
    <row r="79" spans="1:7" x14ac:dyDescent="0.25">
      <c r="A79">
        <v>1158</v>
      </c>
      <c r="B79" t="str">
        <f>VLOOKUP(A79, Sales!$A$2:$E$206, 5, FALSE)</f>
        <v>D</v>
      </c>
      <c r="C79" t="str">
        <f>VLOOKUP(A79, Hits!$A$2:$E$206, 5, FALSE)</f>
        <v>D</v>
      </c>
      <c r="D79">
        <f t="shared" si="4"/>
        <v>1</v>
      </c>
      <c r="E79">
        <f t="shared" si="5"/>
        <v>1</v>
      </c>
      <c r="F79" s="15">
        <f t="shared" si="6"/>
        <v>1</v>
      </c>
      <c r="G79" t="str">
        <f t="shared" si="7"/>
        <v>D</v>
      </c>
    </row>
    <row r="80" spans="1:7" x14ac:dyDescent="0.25">
      <c r="A80">
        <v>1039</v>
      </c>
      <c r="B80" t="str">
        <f>VLOOKUP(A80, Sales!$A$2:$E$206, 5, FALSE)</f>
        <v>D</v>
      </c>
      <c r="C80" t="str">
        <f>VLOOKUP(A80, Hits!$A$2:$E$206, 5, FALSE)</f>
        <v>C</v>
      </c>
      <c r="D80">
        <f t="shared" si="4"/>
        <v>1</v>
      </c>
      <c r="E80">
        <f t="shared" si="5"/>
        <v>2</v>
      </c>
      <c r="F80" s="15">
        <f t="shared" si="6"/>
        <v>1.35</v>
      </c>
      <c r="G80" t="str">
        <f t="shared" si="7"/>
        <v>D</v>
      </c>
    </row>
    <row r="81" spans="1:7" x14ac:dyDescent="0.25">
      <c r="A81">
        <v>1050</v>
      </c>
      <c r="B81" t="str">
        <f>VLOOKUP(A81, Sales!$A$2:$E$206, 5, FALSE)</f>
        <v>D</v>
      </c>
      <c r="C81" t="str">
        <f>VLOOKUP(A81, Hits!$A$2:$E$206, 5, FALSE)</f>
        <v>B</v>
      </c>
      <c r="D81">
        <f t="shared" si="4"/>
        <v>1</v>
      </c>
      <c r="E81">
        <f t="shared" si="5"/>
        <v>3</v>
      </c>
      <c r="F81" s="15">
        <f t="shared" si="6"/>
        <v>1.6999999999999997</v>
      </c>
      <c r="G81" t="str">
        <f t="shared" si="7"/>
        <v>D</v>
      </c>
    </row>
    <row r="82" spans="1:7" x14ac:dyDescent="0.25">
      <c r="A82">
        <v>1153</v>
      </c>
      <c r="B82" t="str">
        <f>VLOOKUP(A82, Sales!$A$2:$E$206, 5, FALSE)</f>
        <v>D</v>
      </c>
      <c r="C82" t="str">
        <f>VLOOKUP(A82, Hits!$A$2:$E$206, 5, FALSE)</f>
        <v>D</v>
      </c>
      <c r="D82">
        <f t="shared" si="4"/>
        <v>1</v>
      </c>
      <c r="E82">
        <f t="shared" si="5"/>
        <v>1</v>
      </c>
      <c r="F82" s="15">
        <f t="shared" si="6"/>
        <v>1</v>
      </c>
      <c r="G82" t="str">
        <f t="shared" si="7"/>
        <v>D</v>
      </c>
    </row>
    <row r="83" spans="1:7" x14ac:dyDescent="0.25">
      <c r="A83">
        <v>1062</v>
      </c>
      <c r="B83" t="str">
        <f>VLOOKUP(A83, Sales!$A$2:$E$206, 5, FALSE)</f>
        <v>D</v>
      </c>
      <c r="C83" t="str">
        <f>VLOOKUP(A83, Hits!$A$2:$E$206, 5, FALSE)</f>
        <v>D</v>
      </c>
      <c r="D83">
        <f t="shared" si="4"/>
        <v>1</v>
      </c>
      <c r="E83">
        <f t="shared" si="5"/>
        <v>1</v>
      </c>
      <c r="F83" s="15">
        <f t="shared" si="6"/>
        <v>1</v>
      </c>
      <c r="G83" t="str">
        <f t="shared" si="7"/>
        <v>D</v>
      </c>
    </row>
    <row r="84" spans="1:7" x14ac:dyDescent="0.25">
      <c r="A84">
        <v>1012</v>
      </c>
      <c r="B84" t="str">
        <f>VLOOKUP(A84, Sales!$A$2:$E$206, 5, FALSE)</f>
        <v>D</v>
      </c>
      <c r="C84" t="str">
        <f>VLOOKUP(A84, Hits!$A$2:$E$206, 5, FALSE)</f>
        <v>D</v>
      </c>
      <c r="D84">
        <f t="shared" si="4"/>
        <v>1</v>
      </c>
      <c r="E84">
        <f t="shared" si="5"/>
        <v>1</v>
      </c>
      <c r="F84" s="15">
        <f t="shared" si="6"/>
        <v>1</v>
      </c>
      <c r="G84" t="str">
        <f t="shared" si="7"/>
        <v>D</v>
      </c>
    </row>
    <row r="85" spans="1:7" x14ac:dyDescent="0.25">
      <c r="A85">
        <v>1068</v>
      </c>
      <c r="B85" t="str">
        <f>VLOOKUP(A85, Sales!$A$2:$E$206, 5, FALSE)</f>
        <v>D</v>
      </c>
      <c r="C85" t="str">
        <f>VLOOKUP(A85, Hits!$A$2:$E$206, 5, FALSE)</f>
        <v>D</v>
      </c>
      <c r="D85">
        <f t="shared" si="4"/>
        <v>1</v>
      </c>
      <c r="E85">
        <f t="shared" si="5"/>
        <v>1</v>
      </c>
      <c r="F85" s="15">
        <f t="shared" si="6"/>
        <v>1</v>
      </c>
      <c r="G85" t="str">
        <f t="shared" si="7"/>
        <v>D</v>
      </c>
    </row>
    <row r="86" spans="1:7" x14ac:dyDescent="0.25">
      <c r="A86">
        <v>1065</v>
      </c>
      <c r="B86" t="str">
        <f>VLOOKUP(A86, Sales!$A$2:$E$206, 5, FALSE)</f>
        <v>D</v>
      </c>
      <c r="C86" t="str">
        <f>VLOOKUP(A86, Hits!$A$2:$E$206, 5, FALSE)</f>
        <v>D</v>
      </c>
      <c r="D86">
        <f t="shared" si="4"/>
        <v>1</v>
      </c>
      <c r="E86">
        <f t="shared" si="5"/>
        <v>1</v>
      </c>
      <c r="F86" s="15">
        <f t="shared" si="6"/>
        <v>1</v>
      </c>
      <c r="G86" t="str">
        <f t="shared" si="7"/>
        <v>D</v>
      </c>
    </row>
    <row r="87" spans="1:7" x14ac:dyDescent="0.25">
      <c r="A87">
        <v>1069</v>
      </c>
      <c r="B87" t="str">
        <f>VLOOKUP(A87, Sales!$A$2:$E$206, 5, FALSE)</f>
        <v>D</v>
      </c>
      <c r="C87" t="str">
        <f>VLOOKUP(A87, Hits!$A$2:$E$206, 5, FALSE)</f>
        <v>D</v>
      </c>
      <c r="D87">
        <f t="shared" si="4"/>
        <v>1</v>
      </c>
      <c r="E87">
        <f t="shared" si="5"/>
        <v>1</v>
      </c>
      <c r="F87" s="15">
        <f t="shared" si="6"/>
        <v>1</v>
      </c>
      <c r="G87" t="str">
        <f t="shared" si="7"/>
        <v>D</v>
      </c>
    </row>
    <row r="88" spans="1:7" x14ac:dyDescent="0.25">
      <c r="A88">
        <v>1045</v>
      </c>
      <c r="B88" t="str">
        <f>VLOOKUP(A88, Sales!$A$2:$E$206, 5, FALSE)</f>
        <v>D</v>
      </c>
      <c r="C88" t="str">
        <f>VLOOKUP(A88, Hits!$A$2:$E$206, 5, FALSE)</f>
        <v>A</v>
      </c>
      <c r="D88">
        <f t="shared" si="4"/>
        <v>1</v>
      </c>
      <c r="E88">
        <f t="shared" si="5"/>
        <v>4</v>
      </c>
      <c r="F88" s="15">
        <f t="shared" si="6"/>
        <v>2.0499999999999998</v>
      </c>
      <c r="G88" t="str">
        <f t="shared" si="7"/>
        <v>C</v>
      </c>
    </row>
    <row r="89" spans="1:7" x14ac:dyDescent="0.25">
      <c r="A89">
        <v>1046</v>
      </c>
      <c r="B89" t="str">
        <f>VLOOKUP(A89, Sales!$A$2:$E$206, 5, FALSE)</f>
        <v>D</v>
      </c>
      <c r="C89" t="str">
        <f>VLOOKUP(A89, Hits!$A$2:$E$206, 5, FALSE)</f>
        <v>C</v>
      </c>
      <c r="D89">
        <f t="shared" si="4"/>
        <v>1</v>
      </c>
      <c r="E89">
        <f t="shared" si="5"/>
        <v>2</v>
      </c>
      <c r="F89" s="15">
        <f t="shared" si="6"/>
        <v>1.35</v>
      </c>
      <c r="G89" t="str">
        <f t="shared" si="7"/>
        <v>D</v>
      </c>
    </row>
    <row r="90" spans="1:7" x14ac:dyDescent="0.25">
      <c r="A90">
        <v>1061</v>
      </c>
      <c r="B90" t="str">
        <f>VLOOKUP(A90, Sales!$A$2:$E$206, 5, FALSE)</f>
        <v>D</v>
      </c>
      <c r="C90" t="str">
        <f>VLOOKUP(A90, Hits!$A$2:$E$206, 5, FALSE)</f>
        <v>D</v>
      </c>
      <c r="D90">
        <f t="shared" si="4"/>
        <v>1</v>
      </c>
      <c r="E90">
        <f t="shared" si="5"/>
        <v>1</v>
      </c>
      <c r="F90" s="15">
        <f t="shared" si="6"/>
        <v>1</v>
      </c>
      <c r="G90" t="str">
        <f t="shared" si="7"/>
        <v>D</v>
      </c>
    </row>
    <row r="91" spans="1:7" x14ac:dyDescent="0.25">
      <c r="A91">
        <v>1041</v>
      </c>
      <c r="B91" t="str">
        <f>VLOOKUP(A91, Sales!$A$2:$E$206, 5, FALSE)</f>
        <v>D</v>
      </c>
      <c r="C91" t="str">
        <f>VLOOKUP(A91, Hits!$A$2:$E$206, 5, FALSE)</f>
        <v>B</v>
      </c>
      <c r="D91">
        <f t="shared" si="4"/>
        <v>1</v>
      </c>
      <c r="E91">
        <f t="shared" si="5"/>
        <v>3</v>
      </c>
      <c r="F91" s="15">
        <f t="shared" si="6"/>
        <v>1.6999999999999997</v>
      </c>
      <c r="G91" t="str">
        <f t="shared" si="7"/>
        <v>D</v>
      </c>
    </row>
    <row r="92" spans="1:7" x14ac:dyDescent="0.25">
      <c r="A92">
        <v>1067</v>
      </c>
      <c r="B92" t="str">
        <f>VLOOKUP(A92, Sales!$A$2:$E$206, 5, FALSE)</f>
        <v>D</v>
      </c>
      <c r="C92" t="str">
        <f>VLOOKUP(A92, Hits!$A$2:$E$206, 5, FALSE)</f>
        <v>D</v>
      </c>
      <c r="D92">
        <f t="shared" si="4"/>
        <v>1</v>
      </c>
      <c r="E92">
        <f t="shared" si="5"/>
        <v>1</v>
      </c>
      <c r="F92" s="15">
        <f t="shared" si="6"/>
        <v>1</v>
      </c>
      <c r="G92" t="str">
        <f t="shared" si="7"/>
        <v>D</v>
      </c>
    </row>
    <row r="93" spans="1:7" x14ac:dyDescent="0.25">
      <c r="A93">
        <v>1064</v>
      </c>
      <c r="B93" t="str">
        <f>VLOOKUP(A93, Sales!$A$2:$E$206, 5, FALSE)</f>
        <v>D</v>
      </c>
      <c r="C93" t="str">
        <f>VLOOKUP(A93, Hits!$A$2:$E$206, 5, FALSE)</f>
        <v>D</v>
      </c>
      <c r="D93">
        <f t="shared" si="4"/>
        <v>1</v>
      </c>
      <c r="E93">
        <f t="shared" si="5"/>
        <v>1</v>
      </c>
      <c r="F93" s="15">
        <f t="shared" si="6"/>
        <v>1</v>
      </c>
      <c r="G93" t="str">
        <f t="shared" si="7"/>
        <v>D</v>
      </c>
    </row>
    <row r="94" spans="1:7" x14ac:dyDescent="0.25">
      <c r="A94">
        <v>1133</v>
      </c>
      <c r="B94" t="str">
        <f>VLOOKUP(A94, Sales!$A$2:$E$206, 5, FALSE)</f>
        <v>D</v>
      </c>
      <c r="C94" t="str">
        <f>VLOOKUP(A94, Hits!$A$2:$E$206, 5, FALSE)</f>
        <v>D</v>
      </c>
      <c r="D94">
        <f t="shared" si="4"/>
        <v>1</v>
      </c>
      <c r="E94">
        <f t="shared" si="5"/>
        <v>1</v>
      </c>
      <c r="F94" s="15">
        <f t="shared" si="6"/>
        <v>1</v>
      </c>
      <c r="G94" t="str">
        <f t="shared" si="7"/>
        <v>D</v>
      </c>
    </row>
    <row r="95" spans="1:7" x14ac:dyDescent="0.25">
      <c r="A95">
        <v>1029</v>
      </c>
      <c r="B95" t="str">
        <f>VLOOKUP(A95, Sales!$A$2:$E$206, 5, FALSE)</f>
        <v>D</v>
      </c>
      <c r="C95" t="str">
        <f>VLOOKUP(A95, Hits!$A$2:$E$206, 5, FALSE)</f>
        <v>D</v>
      </c>
      <c r="D95">
        <f t="shared" si="4"/>
        <v>1</v>
      </c>
      <c r="E95">
        <f t="shared" si="5"/>
        <v>1</v>
      </c>
      <c r="F95" s="15">
        <f t="shared" si="6"/>
        <v>1</v>
      </c>
      <c r="G95" t="str">
        <f t="shared" si="7"/>
        <v>D</v>
      </c>
    </row>
    <row r="96" spans="1:7" x14ac:dyDescent="0.25">
      <c r="A96">
        <v>1033</v>
      </c>
      <c r="B96" t="str">
        <f>VLOOKUP(A96, Sales!$A$2:$E$206, 5, FALSE)</f>
        <v>D</v>
      </c>
      <c r="C96" t="str">
        <f>VLOOKUP(A96, Hits!$A$2:$E$206, 5, FALSE)</f>
        <v>C</v>
      </c>
      <c r="D96">
        <f t="shared" si="4"/>
        <v>1</v>
      </c>
      <c r="E96">
        <f t="shared" si="5"/>
        <v>2</v>
      </c>
      <c r="F96" s="15">
        <f t="shared" si="6"/>
        <v>1.35</v>
      </c>
      <c r="G96" t="str">
        <f t="shared" si="7"/>
        <v>D</v>
      </c>
    </row>
    <row r="97" spans="1:7" x14ac:dyDescent="0.25">
      <c r="A97">
        <v>1130</v>
      </c>
      <c r="B97" t="str">
        <f>VLOOKUP(A97, Sales!$A$2:$E$206, 5, FALSE)</f>
        <v>D</v>
      </c>
      <c r="C97" t="str">
        <f>VLOOKUP(A97, Hits!$A$2:$E$206, 5, FALSE)</f>
        <v>D</v>
      </c>
      <c r="D97">
        <f t="shared" si="4"/>
        <v>1</v>
      </c>
      <c r="E97">
        <f t="shared" si="5"/>
        <v>1</v>
      </c>
      <c r="F97" s="15">
        <f t="shared" si="6"/>
        <v>1</v>
      </c>
      <c r="G97" t="str">
        <f t="shared" si="7"/>
        <v>D</v>
      </c>
    </row>
    <row r="98" spans="1:7" x14ac:dyDescent="0.25">
      <c r="A98">
        <v>1129</v>
      </c>
      <c r="B98" t="str">
        <f>VLOOKUP(A98, Sales!$A$2:$E$206, 5, FALSE)</f>
        <v>D</v>
      </c>
      <c r="C98" t="str">
        <f>VLOOKUP(A98, Hits!$A$2:$E$206, 5, FALSE)</f>
        <v>D</v>
      </c>
      <c r="D98">
        <f t="shared" si="4"/>
        <v>1</v>
      </c>
      <c r="E98">
        <f t="shared" si="5"/>
        <v>1</v>
      </c>
      <c r="F98" s="15">
        <f t="shared" si="6"/>
        <v>1</v>
      </c>
      <c r="G98" t="str">
        <f t="shared" si="7"/>
        <v>D</v>
      </c>
    </row>
    <row r="99" spans="1:7" x14ac:dyDescent="0.25">
      <c r="A99">
        <v>1128</v>
      </c>
      <c r="B99" t="str">
        <f>VLOOKUP(A99, Sales!$A$2:$E$206, 5, FALSE)</f>
        <v>D</v>
      </c>
      <c r="C99" t="str">
        <f>VLOOKUP(A99, Hits!$A$2:$E$206, 5, FALSE)</f>
        <v>D</v>
      </c>
      <c r="D99">
        <f t="shared" si="4"/>
        <v>1</v>
      </c>
      <c r="E99">
        <f t="shared" si="5"/>
        <v>1</v>
      </c>
      <c r="F99" s="15">
        <f t="shared" si="6"/>
        <v>1</v>
      </c>
      <c r="G99" t="str">
        <f t="shared" si="7"/>
        <v>D</v>
      </c>
    </row>
    <row r="100" spans="1:7" x14ac:dyDescent="0.25">
      <c r="A100">
        <v>1063</v>
      </c>
      <c r="B100" t="str">
        <f>VLOOKUP(A100, Sales!$A$2:$E$206, 5, FALSE)</f>
        <v>D</v>
      </c>
      <c r="C100" t="str">
        <f>VLOOKUP(A100, Hits!$A$2:$E$206, 5, FALSE)</f>
        <v>D</v>
      </c>
      <c r="D100">
        <f t="shared" si="4"/>
        <v>1</v>
      </c>
      <c r="E100">
        <f t="shared" si="5"/>
        <v>1</v>
      </c>
      <c r="F100" s="15">
        <f t="shared" si="6"/>
        <v>1</v>
      </c>
      <c r="G100" t="str">
        <f t="shared" si="7"/>
        <v>D</v>
      </c>
    </row>
    <row r="101" spans="1:7" x14ac:dyDescent="0.25">
      <c r="A101">
        <v>1135</v>
      </c>
      <c r="B101" t="str">
        <f>VLOOKUP(A101, Sales!$A$2:$E$206, 5, FALSE)</f>
        <v>D</v>
      </c>
      <c r="C101" t="str">
        <f>VLOOKUP(A101, Hits!$A$2:$E$206, 5, FALSE)</f>
        <v>D</v>
      </c>
      <c r="D101">
        <f t="shared" si="4"/>
        <v>1</v>
      </c>
      <c r="E101">
        <f t="shared" si="5"/>
        <v>1</v>
      </c>
      <c r="F101" s="15">
        <f t="shared" si="6"/>
        <v>1</v>
      </c>
      <c r="G101" t="str">
        <f t="shared" si="7"/>
        <v>D</v>
      </c>
    </row>
    <row r="102" spans="1:7" x14ac:dyDescent="0.25">
      <c r="A102">
        <v>1032</v>
      </c>
      <c r="B102" t="str">
        <f>VLOOKUP(A102, Sales!$A$2:$E$206, 5, FALSE)</f>
        <v>D</v>
      </c>
      <c r="C102" t="str">
        <f>VLOOKUP(A102, Hits!$A$2:$E$206, 5, FALSE)</f>
        <v>D</v>
      </c>
      <c r="D102">
        <f t="shared" si="4"/>
        <v>1</v>
      </c>
      <c r="E102">
        <f t="shared" si="5"/>
        <v>1</v>
      </c>
      <c r="F102" s="15">
        <f t="shared" si="6"/>
        <v>1</v>
      </c>
      <c r="G102" t="str">
        <f t="shared" si="7"/>
        <v>D</v>
      </c>
    </row>
    <row r="103" spans="1:7" x14ac:dyDescent="0.25">
      <c r="A103">
        <v>1025</v>
      </c>
      <c r="B103" t="str">
        <f>VLOOKUP(A103, Sales!$A$2:$E$206, 5, FALSE)</f>
        <v>D</v>
      </c>
      <c r="C103" t="str">
        <f>VLOOKUP(A103, Hits!$A$2:$E$206, 5, FALSE)</f>
        <v>D</v>
      </c>
      <c r="D103">
        <f t="shared" si="4"/>
        <v>1</v>
      </c>
      <c r="E103">
        <f t="shared" si="5"/>
        <v>1</v>
      </c>
      <c r="F103" s="15">
        <f t="shared" si="6"/>
        <v>1</v>
      </c>
      <c r="G103" t="str">
        <f t="shared" si="7"/>
        <v>D</v>
      </c>
    </row>
    <row r="104" spans="1:7" x14ac:dyDescent="0.25">
      <c r="A104">
        <v>1117</v>
      </c>
      <c r="B104" t="str">
        <f>VLOOKUP(A104, Sales!$A$2:$E$206, 5, FALSE)</f>
        <v>D</v>
      </c>
      <c r="C104" t="str">
        <f>VLOOKUP(A104, Hits!$A$2:$E$206, 5, FALSE)</f>
        <v>D</v>
      </c>
      <c r="D104">
        <f t="shared" si="4"/>
        <v>1</v>
      </c>
      <c r="E104">
        <f t="shared" si="5"/>
        <v>1</v>
      </c>
      <c r="F104" s="15">
        <f t="shared" si="6"/>
        <v>1</v>
      </c>
      <c r="G104" t="str">
        <f t="shared" si="7"/>
        <v>D</v>
      </c>
    </row>
    <row r="105" spans="1:7" x14ac:dyDescent="0.25">
      <c r="A105">
        <v>1106</v>
      </c>
      <c r="B105" t="str">
        <f>VLOOKUP(A105, Sales!$A$2:$E$206, 5, FALSE)</f>
        <v>D</v>
      </c>
      <c r="C105" t="str">
        <f>VLOOKUP(A105, Hits!$A$2:$E$206, 5, FALSE)</f>
        <v>D</v>
      </c>
      <c r="D105">
        <f t="shared" si="4"/>
        <v>1</v>
      </c>
      <c r="E105">
        <f t="shared" si="5"/>
        <v>1</v>
      </c>
      <c r="F105" s="15">
        <f t="shared" si="6"/>
        <v>1</v>
      </c>
      <c r="G105" t="str">
        <f t="shared" si="7"/>
        <v>D</v>
      </c>
    </row>
    <row r="106" spans="1:7" x14ac:dyDescent="0.25">
      <c r="A106">
        <v>1056</v>
      </c>
      <c r="B106" t="str">
        <f>VLOOKUP(A106, Sales!$A$2:$E$206, 5, FALSE)</f>
        <v>D</v>
      </c>
      <c r="C106" t="str">
        <f>VLOOKUP(A106, Hits!$A$2:$E$206, 5, FALSE)</f>
        <v>D</v>
      </c>
      <c r="D106">
        <f t="shared" si="4"/>
        <v>1</v>
      </c>
      <c r="E106">
        <f t="shared" si="5"/>
        <v>1</v>
      </c>
      <c r="F106" s="15">
        <f t="shared" si="6"/>
        <v>1</v>
      </c>
      <c r="G106" t="str">
        <f t="shared" si="7"/>
        <v>D</v>
      </c>
    </row>
    <row r="107" spans="1:7" x14ac:dyDescent="0.25">
      <c r="A107">
        <v>1048</v>
      </c>
      <c r="B107" t="str">
        <f>VLOOKUP(A107, Sales!$A$2:$E$206, 5, FALSE)</f>
        <v>D</v>
      </c>
      <c r="C107" t="str">
        <f>VLOOKUP(A107, Hits!$A$2:$E$206, 5, FALSE)</f>
        <v>B</v>
      </c>
      <c r="D107">
        <f t="shared" si="4"/>
        <v>1</v>
      </c>
      <c r="E107">
        <f t="shared" si="5"/>
        <v>3</v>
      </c>
      <c r="F107" s="15">
        <f t="shared" si="6"/>
        <v>1.6999999999999997</v>
      </c>
      <c r="G107" t="str">
        <f t="shared" si="7"/>
        <v>D</v>
      </c>
    </row>
    <row r="108" spans="1:7" x14ac:dyDescent="0.25">
      <c r="A108">
        <v>1127</v>
      </c>
      <c r="B108" t="str">
        <f>VLOOKUP(A108, Sales!$A$2:$E$206, 5, FALSE)</f>
        <v>D</v>
      </c>
      <c r="C108" t="str">
        <f>VLOOKUP(A108, Hits!$A$2:$E$206, 5, FALSE)</f>
        <v>D</v>
      </c>
      <c r="D108">
        <f t="shared" si="4"/>
        <v>1</v>
      </c>
      <c r="E108">
        <f t="shared" si="5"/>
        <v>1</v>
      </c>
      <c r="F108" s="15">
        <f t="shared" si="6"/>
        <v>1</v>
      </c>
      <c r="G108" t="str">
        <f t="shared" si="7"/>
        <v>D</v>
      </c>
    </row>
    <row r="109" spans="1:7" x14ac:dyDescent="0.25">
      <c r="A109">
        <v>1126</v>
      </c>
      <c r="B109" t="str">
        <f>VLOOKUP(A109, Sales!$A$2:$E$206, 5, FALSE)</f>
        <v>D</v>
      </c>
      <c r="C109" t="str">
        <f>VLOOKUP(A109, Hits!$A$2:$E$206, 5, FALSE)</f>
        <v>D</v>
      </c>
      <c r="D109">
        <f t="shared" si="4"/>
        <v>1</v>
      </c>
      <c r="E109">
        <f t="shared" si="5"/>
        <v>1</v>
      </c>
      <c r="F109" s="15">
        <f t="shared" si="6"/>
        <v>1</v>
      </c>
      <c r="G109" t="str">
        <f t="shared" si="7"/>
        <v>D</v>
      </c>
    </row>
    <row r="110" spans="1:7" x14ac:dyDescent="0.25">
      <c r="A110">
        <v>1143</v>
      </c>
      <c r="B110" t="str">
        <f>VLOOKUP(A110, Sales!$A$2:$E$206, 5, FALSE)</f>
        <v>D</v>
      </c>
      <c r="C110" t="str">
        <f>VLOOKUP(A110, Hits!$A$2:$E$206, 5, FALSE)</f>
        <v>D</v>
      </c>
      <c r="D110">
        <f t="shared" si="4"/>
        <v>1</v>
      </c>
      <c r="E110">
        <f t="shared" si="5"/>
        <v>1</v>
      </c>
      <c r="F110" s="15">
        <f t="shared" si="6"/>
        <v>1</v>
      </c>
      <c r="G110" t="str">
        <f t="shared" si="7"/>
        <v>D</v>
      </c>
    </row>
    <row r="111" spans="1:7" x14ac:dyDescent="0.25">
      <c r="A111">
        <v>1134</v>
      </c>
      <c r="B111" t="str">
        <f>VLOOKUP(A111, Sales!$A$2:$E$206, 5, FALSE)</f>
        <v>D</v>
      </c>
      <c r="C111" t="str">
        <f>VLOOKUP(A111, Hits!$A$2:$E$206, 5, FALSE)</f>
        <v>D</v>
      </c>
      <c r="D111">
        <f t="shared" si="4"/>
        <v>1</v>
      </c>
      <c r="E111">
        <f t="shared" si="5"/>
        <v>1</v>
      </c>
      <c r="F111" s="15">
        <f t="shared" si="6"/>
        <v>1</v>
      </c>
      <c r="G111" t="str">
        <f t="shared" si="7"/>
        <v>D</v>
      </c>
    </row>
    <row r="112" spans="1:7" x14ac:dyDescent="0.25">
      <c r="A112">
        <v>1088</v>
      </c>
      <c r="B112" t="str">
        <f>VLOOKUP(A112, Sales!$A$2:$E$206, 5, FALSE)</f>
        <v>D</v>
      </c>
      <c r="C112" t="str">
        <f>VLOOKUP(A112, Hits!$A$2:$E$206, 5, FALSE)</f>
        <v>D</v>
      </c>
      <c r="D112">
        <f t="shared" si="4"/>
        <v>1</v>
      </c>
      <c r="E112">
        <f t="shared" si="5"/>
        <v>1</v>
      </c>
      <c r="F112" s="15">
        <f t="shared" si="6"/>
        <v>1</v>
      </c>
      <c r="G112" t="str">
        <f t="shared" si="7"/>
        <v>D</v>
      </c>
    </row>
    <row r="113" spans="1:7" x14ac:dyDescent="0.25">
      <c r="A113">
        <v>1049</v>
      </c>
      <c r="B113" t="str">
        <f>VLOOKUP(A113, Sales!$A$2:$E$206, 5, FALSE)</f>
        <v>D</v>
      </c>
      <c r="C113" t="str">
        <f>VLOOKUP(A113, Hits!$A$2:$E$206, 5, FALSE)</f>
        <v>B</v>
      </c>
      <c r="D113">
        <f t="shared" si="4"/>
        <v>1</v>
      </c>
      <c r="E113">
        <f t="shared" si="5"/>
        <v>3</v>
      </c>
      <c r="F113" s="15">
        <f t="shared" si="6"/>
        <v>1.6999999999999997</v>
      </c>
      <c r="G113" t="str">
        <f t="shared" si="7"/>
        <v>D</v>
      </c>
    </row>
    <row r="114" spans="1:7" x14ac:dyDescent="0.25">
      <c r="A114">
        <v>1066</v>
      </c>
      <c r="B114" t="str">
        <f>VLOOKUP(A114, Sales!$A$2:$E$206, 5, FALSE)</f>
        <v>D</v>
      </c>
      <c r="C114" t="str">
        <f>VLOOKUP(A114, Hits!$A$2:$E$206, 5, FALSE)</f>
        <v>D</v>
      </c>
      <c r="D114">
        <f t="shared" si="4"/>
        <v>1</v>
      </c>
      <c r="E114">
        <f t="shared" si="5"/>
        <v>1</v>
      </c>
      <c r="F114" s="15">
        <f t="shared" si="6"/>
        <v>1</v>
      </c>
      <c r="G114" t="str">
        <f t="shared" si="7"/>
        <v>D</v>
      </c>
    </row>
    <row r="115" spans="1:7" x14ac:dyDescent="0.25">
      <c r="A115">
        <v>1052</v>
      </c>
      <c r="B115" t="str">
        <f>VLOOKUP(A115, Sales!$A$2:$E$206, 5, FALSE)</f>
        <v>D</v>
      </c>
      <c r="C115" t="str">
        <f>VLOOKUP(A115, Hits!$A$2:$E$206, 5, FALSE)</f>
        <v>C</v>
      </c>
      <c r="D115">
        <f t="shared" si="4"/>
        <v>1</v>
      </c>
      <c r="E115">
        <f t="shared" si="5"/>
        <v>2</v>
      </c>
      <c r="F115" s="15">
        <f t="shared" si="6"/>
        <v>1.35</v>
      </c>
      <c r="G115" t="str">
        <f t="shared" si="7"/>
        <v>D</v>
      </c>
    </row>
    <row r="116" spans="1:7" x14ac:dyDescent="0.25">
      <c r="A116">
        <v>1087</v>
      </c>
      <c r="B116" t="str">
        <f>VLOOKUP(A116, Sales!$A$2:$E$206, 5, FALSE)</f>
        <v>D</v>
      </c>
      <c r="C116" t="str">
        <f>VLOOKUP(A116, Hits!$A$2:$E$206, 5, FALSE)</f>
        <v>D</v>
      </c>
      <c r="D116">
        <f t="shared" si="4"/>
        <v>1</v>
      </c>
      <c r="E116">
        <f t="shared" si="5"/>
        <v>1</v>
      </c>
      <c r="F116" s="15">
        <f t="shared" si="6"/>
        <v>1</v>
      </c>
      <c r="G116" t="str">
        <f t="shared" si="7"/>
        <v>D</v>
      </c>
    </row>
    <row r="117" spans="1:7" x14ac:dyDescent="0.25">
      <c r="A117">
        <v>1018</v>
      </c>
      <c r="B117" t="str">
        <f>VLOOKUP(A117, Sales!$A$2:$E$206, 5, FALSE)</f>
        <v>D</v>
      </c>
      <c r="C117" t="str">
        <f>VLOOKUP(A117, Hits!$A$2:$E$206, 5, FALSE)</f>
        <v>D</v>
      </c>
      <c r="D117">
        <f t="shared" si="4"/>
        <v>1</v>
      </c>
      <c r="E117">
        <f t="shared" si="5"/>
        <v>1</v>
      </c>
      <c r="F117" s="15">
        <f t="shared" si="6"/>
        <v>1</v>
      </c>
      <c r="G117" t="str">
        <f t="shared" si="7"/>
        <v>D</v>
      </c>
    </row>
    <row r="118" spans="1:7" x14ac:dyDescent="0.25">
      <c r="A118">
        <v>1125</v>
      </c>
      <c r="B118" t="str">
        <f>VLOOKUP(A118, Sales!$A$2:$E$206, 5, FALSE)</f>
        <v>D</v>
      </c>
      <c r="C118" t="str">
        <f>VLOOKUP(A118, Hits!$A$2:$E$206, 5, FALSE)</f>
        <v>D</v>
      </c>
      <c r="D118">
        <f t="shared" si="4"/>
        <v>1</v>
      </c>
      <c r="E118">
        <f t="shared" si="5"/>
        <v>1</v>
      </c>
      <c r="F118" s="15">
        <f t="shared" si="6"/>
        <v>1</v>
      </c>
      <c r="G118" t="str">
        <f t="shared" si="7"/>
        <v>D</v>
      </c>
    </row>
    <row r="119" spans="1:7" x14ac:dyDescent="0.25">
      <c r="A119">
        <v>1059</v>
      </c>
      <c r="B119" t="str">
        <f>VLOOKUP(A119, Sales!$A$2:$E$206, 5, FALSE)</f>
        <v>D</v>
      </c>
      <c r="C119" t="str">
        <f>VLOOKUP(A119, Hits!$A$2:$E$206, 5, FALSE)</f>
        <v>D</v>
      </c>
      <c r="D119">
        <f t="shared" si="4"/>
        <v>1</v>
      </c>
      <c r="E119">
        <f t="shared" si="5"/>
        <v>1</v>
      </c>
      <c r="F119" s="15">
        <f t="shared" si="6"/>
        <v>1</v>
      </c>
      <c r="G119" t="str">
        <f t="shared" si="7"/>
        <v>D</v>
      </c>
    </row>
    <row r="120" spans="1:7" x14ac:dyDescent="0.25">
      <c r="A120">
        <v>1132</v>
      </c>
      <c r="B120" t="str">
        <f>VLOOKUP(A120, Sales!$A$2:$E$206, 5, FALSE)</f>
        <v>D</v>
      </c>
      <c r="C120" t="str">
        <f>VLOOKUP(A120, Hits!$A$2:$E$206, 5, FALSE)</f>
        <v>D</v>
      </c>
      <c r="D120">
        <f t="shared" si="4"/>
        <v>1</v>
      </c>
      <c r="E120">
        <f t="shared" si="5"/>
        <v>1</v>
      </c>
      <c r="F120" s="15">
        <f t="shared" si="6"/>
        <v>1</v>
      </c>
      <c r="G120" t="str">
        <f t="shared" si="7"/>
        <v>D</v>
      </c>
    </row>
    <row r="121" spans="1:7" x14ac:dyDescent="0.25">
      <c r="A121">
        <v>1057</v>
      </c>
      <c r="B121" t="str">
        <f>VLOOKUP(A121, Sales!$A$2:$E$206, 5, FALSE)</f>
        <v>D</v>
      </c>
      <c r="C121" t="str">
        <f>VLOOKUP(A121, Hits!$A$2:$E$206, 5, FALSE)</f>
        <v>C</v>
      </c>
      <c r="D121">
        <f t="shared" si="4"/>
        <v>1</v>
      </c>
      <c r="E121">
        <f t="shared" si="5"/>
        <v>2</v>
      </c>
      <c r="F121" s="15">
        <f t="shared" si="6"/>
        <v>1.35</v>
      </c>
      <c r="G121" t="str">
        <f t="shared" si="7"/>
        <v>D</v>
      </c>
    </row>
    <row r="122" spans="1:7" x14ac:dyDescent="0.25">
      <c r="A122">
        <v>1111</v>
      </c>
      <c r="B122" t="str">
        <f>VLOOKUP(A122, Sales!$A$2:$E$206, 5, FALSE)</f>
        <v>D</v>
      </c>
      <c r="C122" t="str">
        <f>VLOOKUP(A122, Hits!$A$2:$E$206, 5, FALSE)</f>
        <v>D</v>
      </c>
      <c r="D122">
        <f t="shared" si="4"/>
        <v>1</v>
      </c>
      <c r="E122">
        <f t="shared" si="5"/>
        <v>1</v>
      </c>
      <c r="F122" s="15">
        <f t="shared" si="6"/>
        <v>1</v>
      </c>
      <c r="G122" t="str">
        <f t="shared" si="7"/>
        <v>D</v>
      </c>
    </row>
    <row r="123" spans="1:7" x14ac:dyDescent="0.25">
      <c r="A123">
        <v>1104</v>
      </c>
      <c r="B123" t="str">
        <f>VLOOKUP(A123, Sales!$A$2:$E$206, 5, FALSE)</f>
        <v>D</v>
      </c>
      <c r="C123" t="str">
        <f>VLOOKUP(A123, Hits!$A$2:$E$206, 5, FALSE)</f>
        <v>D</v>
      </c>
      <c r="D123">
        <f t="shared" si="4"/>
        <v>1</v>
      </c>
      <c r="E123">
        <f t="shared" si="5"/>
        <v>1</v>
      </c>
      <c r="F123" s="15">
        <f t="shared" si="6"/>
        <v>1</v>
      </c>
      <c r="G123" t="str">
        <f t="shared" si="7"/>
        <v>D</v>
      </c>
    </row>
    <row r="124" spans="1:7" x14ac:dyDescent="0.25">
      <c r="A124">
        <v>1139</v>
      </c>
      <c r="B124" t="str">
        <f>VLOOKUP(A124, Sales!$A$2:$E$206, 5, FALSE)</f>
        <v>D</v>
      </c>
      <c r="C124" t="str">
        <f>VLOOKUP(A124, Hits!$A$2:$E$206, 5, FALSE)</f>
        <v>D</v>
      </c>
      <c r="D124">
        <f t="shared" si="4"/>
        <v>1</v>
      </c>
      <c r="E124">
        <f t="shared" si="5"/>
        <v>1</v>
      </c>
      <c r="F124" s="15">
        <f t="shared" si="6"/>
        <v>1</v>
      </c>
      <c r="G124" t="str">
        <f t="shared" si="7"/>
        <v>D</v>
      </c>
    </row>
    <row r="125" spans="1:7" x14ac:dyDescent="0.25">
      <c r="A125">
        <v>1034</v>
      </c>
      <c r="B125" t="str">
        <f>VLOOKUP(A125, Sales!$A$2:$E$206, 5, FALSE)</f>
        <v>D</v>
      </c>
      <c r="C125" t="str">
        <f>VLOOKUP(A125, Hits!$A$2:$E$206, 5, FALSE)</f>
        <v>C</v>
      </c>
      <c r="D125">
        <f t="shared" si="4"/>
        <v>1</v>
      </c>
      <c r="E125">
        <f t="shared" si="5"/>
        <v>2</v>
      </c>
      <c r="F125" s="15">
        <f t="shared" si="6"/>
        <v>1.35</v>
      </c>
      <c r="G125" t="str">
        <f t="shared" si="7"/>
        <v>D</v>
      </c>
    </row>
    <row r="126" spans="1:7" x14ac:dyDescent="0.25">
      <c r="A126">
        <v>1047</v>
      </c>
      <c r="B126" t="str">
        <f>VLOOKUP(A126, Sales!$A$2:$E$206, 5, FALSE)</f>
        <v>D</v>
      </c>
      <c r="C126" t="str">
        <f>VLOOKUP(A126, Hits!$A$2:$E$206, 5, FALSE)</f>
        <v>B</v>
      </c>
      <c r="D126">
        <f t="shared" si="4"/>
        <v>1</v>
      </c>
      <c r="E126">
        <f t="shared" si="5"/>
        <v>3</v>
      </c>
      <c r="F126" s="15">
        <f t="shared" si="6"/>
        <v>1.6999999999999997</v>
      </c>
      <c r="G126" t="str">
        <f t="shared" si="7"/>
        <v>D</v>
      </c>
    </row>
    <row r="127" spans="1:7" x14ac:dyDescent="0.25">
      <c r="A127">
        <v>1058</v>
      </c>
      <c r="B127" t="str">
        <f>VLOOKUP(A127, Sales!$A$2:$E$206, 5, FALSE)</f>
        <v>D</v>
      </c>
      <c r="C127" t="str">
        <f>VLOOKUP(A127, Hits!$A$2:$E$206, 5, FALSE)</f>
        <v>D</v>
      </c>
      <c r="D127">
        <f t="shared" si="4"/>
        <v>1</v>
      </c>
      <c r="E127">
        <f t="shared" si="5"/>
        <v>1</v>
      </c>
      <c r="F127" s="15">
        <f t="shared" si="6"/>
        <v>1</v>
      </c>
      <c r="G127" t="str">
        <f t="shared" si="7"/>
        <v>D</v>
      </c>
    </row>
    <row r="128" spans="1:7" x14ac:dyDescent="0.25">
      <c r="A128">
        <v>1011</v>
      </c>
      <c r="B128" t="str">
        <f>VLOOKUP(A128, Sales!$A$2:$E$206, 5, FALSE)</f>
        <v>D</v>
      </c>
      <c r="C128" t="str">
        <f>VLOOKUP(A128, Hits!$A$2:$E$206, 5, FALSE)</f>
        <v>D</v>
      </c>
      <c r="D128">
        <f t="shared" si="4"/>
        <v>1</v>
      </c>
      <c r="E128">
        <f t="shared" si="5"/>
        <v>1</v>
      </c>
      <c r="F128" s="15">
        <f t="shared" si="6"/>
        <v>1</v>
      </c>
      <c r="G128" t="str">
        <f t="shared" si="7"/>
        <v>D</v>
      </c>
    </row>
    <row r="129" spans="1:7" x14ac:dyDescent="0.25">
      <c r="A129">
        <v>1140</v>
      </c>
      <c r="B129" t="str">
        <f>VLOOKUP(A129, Sales!$A$2:$E$206, 5, FALSE)</f>
        <v>D</v>
      </c>
      <c r="C129" t="str">
        <f>VLOOKUP(A129, Hits!$A$2:$E$206, 5, FALSE)</f>
        <v>D</v>
      </c>
      <c r="D129">
        <f t="shared" si="4"/>
        <v>1</v>
      </c>
      <c r="E129">
        <f t="shared" si="5"/>
        <v>1</v>
      </c>
      <c r="F129" s="15">
        <f t="shared" si="6"/>
        <v>1</v>
      </c>
      <c r="G129" t="str">
        <f t="shared" si="7"/>
        <v>D</v>
      </c>
    </row>
    <row r="130" spans="1:7" x14ac:dyDescent="0.25">
      <c r="A130">
        <v>1094</v>
      </c>
      <c r="B130" t="str">
        <f>VLOOKUP(A130, Sales!$A$2:$E$206, 5, FALSE)</f>
        <v>D</v>
      </c>
      <c r="C130" t="str">
        <f>VLOOKUP(A130, Hits!$A$2:$E$206, 5, FALSE)</f>
        <v>D</v>
      </c>
      <c r="D130">
        <f t="shared" si="4"/>
        <v>1</v>
      </c>
      <c r="E130">
        <f t="shared" si="5"/>
        <v>1</v>
      </c>
      <c r="F130" s="15">
        <f t="shared" si="6"/>
        <v>1</v>
      </c>
      <c r="G130" t="str">
        <f t="shared" si="7"/>
        <v>D</v>
      </c>
    </row>
    <row r="131" spans="1:7" x14ac:dyDescent="0.25">
      <c r="A131">
        <v>1093</v>
      </c>
      <c r="B131" t="str">
        <f>VLOOKUP(A131, Sales!$A$2:$E$206, 5, FALSE)</f>
        <v>D</v>
      </c>
      <c r="C131" t="str">
        <f>VLOOKUP(A131, Hits!$A$2:$E$206, 5, FALSE)</f>
        <v>D</v>
      </c>
      <c r="D131">
        <f t="shared" ref="D131:D194" si="8">VLOOKUP(B131, $J$9:$K$12, 2, FALSE)</f>
        <v>1</v>
      </c>
      <c r="E131">
        <f t="shared" ref="E131:E194" si="9">VLOOKUP(C131, $J$9:$K$12, 2, FALSE)</f>
        <v>1</v>
      </c>
      <c r="F131" s="15">
        <f t="shared" ref="F131:F194" si="10">D131*$K$4+E131*$K$5</f>
        <v>1</v>
      </c>
      <c r="G131" t="str">
        <f t="shared" ref="G131:G194" si="11">VLOOKUP(F131, $J$22:$K$25, 2, 1)</f>
        <v>D</v>
      </c>
    </row>
    <row r="132" spans="1:7" x14ac:dyDescent="0.25">
      <c r="A132">
        <v>1100</v>
      </c>
      <c r="B132" t="str">
        <f>VLOOKUP(A132, Sales!$A$2:$E$206, 5, FALSE)</f>
        <v>D</v>
      </c>
      <c r="C132" t="str">
        <f>VLOOKUP(A132, Hits!$A$2:$E$206, 5, FALSE)</f>
        <v>D</v>
      </c>
      <c r="D132">
        <f t="shared" si="8"/>
        <v>1</v>
      </c>
      <c r="E132">
        <f t="shared" si="9"/>
        <v>1</v>
      </c>
      <c r="F132" s="15">
        <f t="shared" si="10"/>
        <v>1</v>
      </c>
      <c r="G132" t="str">
        <f t="shared" si="11"/>
        <v>D</v>
      </c>
    </row>
    <row r="133" spans="1:7" x14ac:dyDescent="0.25">
      <c r="A133">
        <v>1053</v>
      </c>
      <c r="B133" t="str">
        <f>VLOOKUP(A133, Sales!$A$2:$E$206, 5, FALSE)</f>
        <v>D</v>
      </c>
      <c r="C133" t="str">
        <f>VLOOKUP(A133, Hits!$A$2:$E$206, 5, FALSE)</f>
        <v>D</v>
      </c>
      <c r="D133">
        <f t="shared" si="8"/>
        <v>1</v>
      </c>
      <c r="E133">
        <f t="shared" si="9"/>
        <v>1</v>
      </c>
      <c r="F133" s="15">
        <f t="shared" si="10"/>
        <v>1</v>
      </c>
      <c r="G133" t="str">
        <f t="shared" si="11"/>
        <v>D</v>
      </c>
    </row>
    <row r="134" spans="1:7" x14ac:dyDescent="0.25">
      <c r="A134">
        <v>1138</v>
      </c>
      <c r="B134" t="str">
        <f>VLOOKUP(A134, Sales!$A$2:$E$206, 5, FALSE)</f>
        <v>D</v>
      </c>
      <c r="C134" t="str">
        <f>VLOOKUP(A134, Hits!$A$2:$E$206, 5, FALSE)</f>
        <v>D</v>
      </c>
      <c r="D134">
        <f t="shared" si="8"/>
        <v>1</v>
      </c>
      <c r="E134">
        <f t="shared" si="9"/>
        <v>1</v>
      </c>
      <c r="F134" s="15">
        <f t="shared" si="10"/>
        <v>1</v>
      </c>
      <c r="G134" t="str">
        <f t="shared" si="11"/>
        <v>D</v>
      </c>
    </row>
    <row r="135" spans="1:7" x14ac:dyDescent="0.25">
      <c r="A135">
        <v>1038</v>
      </c>
      <c r="B135" t="str">
        <f>VLOOKUP(A135, Sales!$A$2:$E$206, 5, FALSE)</f>
        <v>D</v>
      </c>
      <c r="C135" t="str">
        <f>VLOOKUP(A135, Hits!$A$2:$E$206, 5, FALSE)</f>
        <v>C</v>
      </c>
      <c r="D135">
        <f t="shared" si="8"/>
        <v>1</v>
      </c>
      <c r="E135">
        <f t="shared" si="9"/>
        <v>2</v>
      </c>
      <c r="F135" s="15">
        <f t="shared" si="10"/>
        <v>1.35</v>
      </c>
      <c r="G135" t="str">
        <f t="shared" si="11"/>
        <v>D</v>
      </c>
    </row>
    <row r="136" spans="1:7" x14ac:dyDescent="0.25">
      <c r="A136">
        <v>1136</v>
      </c>
      <c r="B136" t="str">
        <f>VLOOKUP(A136, Sales!$A$2:$E$206, 5, FALSE)</f>
        <v>D</v>
      </c>
      <c r="C136" t="str">
        <f>VLOOKUP(A136, Hits!$A$2:$E$206, 5, FALSE)</f>
        <v>D</v>
      </c>
      <c r="D136">
        <f t="shared" si="8"/>
        <v>1</v>
      </c>
      <c r="E136">
        <f t="shared" si="9"/>
        <v>1</v>
      </c>
      <c r="F136" s="15">
        <f t="shared" si="10"/>
        <v>1</v>
      </c>
      <c r="G136" t="str">
        <f t="shared" si="11"/>
        <v>D</v>
      </c>
    </row>
    <row r="137" spans="1:7" x14ac:dyDescent="0.25">
      <c r="A137">
        <v>1110</v>
      </c>
      <c r="B137" t="str">
        <f>VLOOKUP(A137, Sales!$A$2:$E$206, 5, FALSE)</f>
        <v>D</v>
      </c>
      <c r="C137" t="str">
        <f>VLOOKUP(A137, Hits!$A$2:$E$206, 5, FALSE)</f>
        <v>D</v>
      </c>
      <c r="D137">
        <f t="shared" si="8"/>
        <v>1</v>
      </c>
      <c r="E137">
        <f t="shared" si="9"/>
        <v>1</v>
      </c>
      <c r="F137" s="15">
        <f t="shared" si="10"/>
        <v>1</v>
      </c>
      <c r="G137" t="str">
        <f t="shared" si="11"/>
        <v>D</v>
      </c>
    </row>
    <row r="138" spans="1:7" x14ac:dyDescent="0.25">
      <c r="A138">
        <v>1099</v>
      </c>
      <c r="B138" t="str">
        <f>VLOOKUP(A138, Sales!$A$2:$E$206, 5, FALSE)</f>
        <v>D</v>
      </c>
      <c r="C138" t="str">
        <f>VLOOKUP(A138, Hits!$A$2:$E$206, 5, FALSE)</f>
        <v>D</v>
      </c>
      <c r="D138">
        <f t="shared" si="8"/>
        <v>1</v>
      </c>
      <c r="E138">
        <f t="shared" si="9"/>
        <v>1</v>
      </c>
      <c r="F138" s="15">
        <f t="shared" si="10"/>
        <v>1</v>
      </c>
      <c r="G138" t="str">
        <f t="shared" si="11"/>
        <v>D</v>
      </c>
    </row>
    <row r="139" spans="1:7" x14ac:dyDescent="0.25">
      <c r="A139">
        <v>1051</v>
      </c>
      <c r="B139" t="str">
        <f>VLOOKUP(A139, Sales!$A$2:$E$206, 5, FALSE)</f>
        <v>D</v>
      </c>
      <c r="C139" t="str">
        <f>VLOOKUP(A139, Hits!$A$2:$E$206, 5, FALSE)</f>
        <v>C</v>
      </c>
      <c r="D139">
        <f t="shared" si="8"/>
        <v>1</v>
      </c>
      <c r="E139">
        <f t="shared" si="9"/>
        <v>2</v>
      </c>
      <c r="F139" s="15">
        <f t="shared" si="10"/>
        <v>1.35</v>
      </c>
      <c r="G139" t="str">
        <f t="shared" si="11"/>
        <v>D</v>
      </c>
    </row>
    <row r="140" spans="1:7" x14ac:dyDescent="0.25">
      <c r="A140">
        <v>1023</v>
      </c>
      <c r="B140" t="str">
        <f>VLOOKUP(A140, Sales!$A$2:$E$206, 5, FALSE)</f>
        <v>D</v>
      </c>
      <c r="C140" t="str">
        <f>VLOOKUP(A140, Hits!$A$2:$E$206, 5, FALSE)</f>
        <v>D</v>
      </c>
      <c r="D140">
        <f t="shared" si="8"/>
        <v>1</v>
      </c>
      <c r="E140">
        <f t="shared" si="9"/>
        <v>1</v>
      </c>
      <c r="F140" s="15">
        <f t="shared" si="10"/>
        <v>1</v>
      </c>
      <c r="G140" t="str">
        <f t="shared" si="11"/>
        <v>D</v>
      </c>
    </row>
    <row r="141" spans="1:7" x14ac:dyDescent="0.25">
      <c r="A141">
        <v>1014</v>
      </c>
      <c r="B141" t="str">
        <f>VLOOKUP(A141, Sales!$A$2:$E$206, 5, FALSE)</f>
        <v>D</v>
      </c>
      <c r="C141" t="str">
        <f>VLOOKUP(A141, Hits!$A$2:$E$206, 5, FALSE)</f>
        <v>D</v>
      </c>
      <c r="D141">
        <f t="shared" si="8"/>
        <v>1</v>
      </c>
      <c r="E141">
        <f t="shared" si="9"/>
        <v>1</v>
      </c>
      <c r="F141" s="15">
        <f t="shared" si="10"/>
        <v>1</v>
      </c>
      <c r="G141" t="str">
        <f t="shared" si="11"/>
        <v>D</v>
      </c>
    </row>
    <row r="142" spans="1:7" x14ac:dyDescent="0.25">
      <c r="A142">
        <v>1089</v>
      </c>
      <c r="B142" t="str">
        <f>VLOOKUP(A142, Sales!$A$2:$E$206, 5, FALSE)</f>
        <v>D</v>
      </c>
      <c r="C142" t="str">
        <f>VLOOKUP(A142, Hits!$A$2:$E$206, 5, FALSE)</f>
        <v>D</v>
      </c>
      <c r="D142">
        <f t="shared" si="8"/>
        <v>1</v>
      </c>
      <c r="E142">
        <f t="shared" si="9"/>
        <v>1</v>
      </c>
      <c r="F142" s="15">
        <f t="shared" si="10"/>
        <v>1</v>
      </c>
      <c r="G142" t="str">
        <f t="shared" si="11"/>
        <v>D</v>
      </c>
    </row>
    <row r="143" spans="1:7" x14ac:dyDescent="0.25">
      <c r="A143">
        <v>1031</v>
      </c>
      <c r="B143" t="str">
        <f>VLOOKUP(A143, Sales!$A$2:$E$206, 5, FALSE)</f>
        <v>D</v>
      </c>
      <c r="C143" t="str">
        <f>VLOOKUP(A143, Hits!$A$2:$E$206, 5, FALSE)</f>
        <v>C</v>
      </c>
      <c r="D143">
        <f t="shared" si="8"/>
        <v>1</v>
      </c>
      <c r="E143">
        <f t="shared" si="9"/>
        <v>2</v>
      </c>
      <c r="F143" s="15">
        <f t="shared" si="10"/>
        <v>1.35</v>
      </c>
      <c r="G143" t="str">
        <f t="shared" si="11"/>
        <v>D</v>
      </c>
    </row>
    <row r="144" spans="1:7" x14ac:dyDescent="0.25">
      <c r="A144">
        <v>1096</v>
      </c>
      <c r="B144" t="str">
        <f>VLOOKUP(A144, Sales!$A$2:$E$206, 5, FALSE)</f>
        <v>D</v>
      </c>
      <c r="C144" t="str">
        <f>VLOOKUP(A144, Hits!$A$2:$E$206, 5, FALSE)</f>
        <v>D</v>
      </c>
      <c r="D144">
        <f t="shared" si="8"/>
        <v>1</v>
      </c>
      <c r="E144">
        <f t="shared" si="9"/>
        <v>1</v>
      </c>
      <c r="F144" s="15">
        <f t="shared" si="10"/>
        <v>1</v>
      </c>
      <c r="G144" t="str">
        <f t="shared" si="11"/>
        <v>D</v>
      </c>
    </row>
    <row r="145" spans="1:7" x14ac:dyDescent="0.25">
      <c r="A145">
        <v>1028</v>
      </c>
      <c r="B145" t="str">
        <f>VLOOKUP(A145, Sales!$A$2:$E$206, 5, FALSE)</f>
        <v>D</v>
      </c>
      <c r="C145" t="str">
        <f>VLOOKUP(A145, Hits!$A$2:$E$206, 5, FALSE)</f>
        <v>D</v>
      </c>
      <c r="D145">
        <f t="shared" si="8"/>
        <v>1</v>
      </c>
      <c r="E145">
        <f t="shared" si="9"/>
        <v>1</v>
      </c>
      <c r="F145" s="15">
        <f t="shared" si="10"/>
        <v>1</v>
      </c>
      <c r="G145" t="str">
        <f t="shared" si="11"/>
        <v>D</v>
      </c>
    </row>
    <row r="146" spans="1:7" x14ac:dyDescent="0.25">
      <c r="A146">
        <v>1060</v>
      </c>
      <c r="B146" t="str">
        <f>VLOOKUP(A146, Sales!$A$2:$E$206, 5, FALSE)</f>
        <v>D</v>
      </c>
      <c r="C146" t="str">
        <f>VLOOKUP(A146, Hits!$A$2:$E$206, 5, FALSE)</f>
        <v>C</v>
      </c>
      <c r="D146">
        <f t="shared" si="8"/>
        <v>1</v>
      </c>
      <c r="E146">
        <f t="shared" si="9"/>
        <v>2</v>
      </c>
      <c r="F146" s="15">
        <f t="shared" si="10"/>
        <v>1.35</v>
      </c>
      <c r="G146" t="str">
        <f t="shared" si="11"/>
        <v>D</v>
      </c>
    </row>
    <row r="147" spans="1:7" x14ac:dyDescent="0.25">
      <c r="A147">
        <v>1020</v>
      </c>
      <c r="B147" t="str">
        <f>VLOOKUP(A147, Sales!$A$2:$E$206, 5, FALSE)</f>
        <v>D</v>
      </c>
      <c r="C147" t="str">
        <f>VLOOKUP(A147, Hits!$A$2:$E$206, 5, FALSE)</f>
        <v>D</v>
      </c>
      <c r="D147">
        <f t="shared" si="8"/>
        <v>1</v>
      </c>
      <c r="E147">
        <f t="shared" si="9"/>
        <v>1</v>
      </c>
      <c r="F147" s="15">
        <f t="shared" si="10"/>
        <v>1</v>
      </c>
      <c r="G147" t="str">
        <f t="shared" si="11"/>
        <v>D</v>
      </c>
    </row>
    <row r="148" spans="1:7" x14ac:dyDescent="0.25">
      <c r="A148">
        <v>1030</v>
      </c>
      <c r="B148" t="str">
        <f>VLOOKUP(A148, Sales!$A$2:$E$206, 5, FALSE)</f>
        <v>D</v>
      </c>
      <c r="C148" t="str">
        <f>VLOOKUP(A148, Hits!$A$2:$E$206, 5, FALSE)</f>
        <v>C</v>
      </c>
      <c r="D148">
        <f t="shared" si="8"/>
        <v>1</v>
      </c>
      <c r="E148">
        <f t="shared" si="9"/>
        <v>2</v>
      </c>
      <c r="F148" s="15">
        <f t="shared" si="10"/>
        <v>1.35</v>
      </c>
      <c r="G148" t="str">
        <f t="shared" si="11"/>
        <v>D</v>
      </c>
    </row>
    <row r="149" spans="1:7" x14ac:dyDescent="0.25">
      <c r="A149">
        <v>1080</v>
      </c>
      <c r="B149" t="str">
        <f>VLOOKUP(A149, Sales!$A$2:$E$206, 5, FALSE)</f>
        <v>D</v>
      </c>
      <c r="C149" t="str">
        <f>VLOOKUP(A149, Hits!$A$2:$E$206, 5, FALSE)</f>
        <v>D</v>
      </c>
      <c r="D149">
        <f t="shared" si="8"/>
        <v>1</v>
      </c>
      <c r="E149">
        <f t="shared" si="9"/>
        <v>1</v>
      </c>
      <c r="F149" s="15">
        <f t="shared" si="10"/>
        <v>1</v>
      </c>
      <c r="G149" t="str">
        <f t="shared" si="11"/>
        <v>D</v>
      </c>
    </row>
    <row r="150" spans="1:7" x14ac:dyDescent="0.25">
      <c r="A150">
        <v>1081</v>
      </c>
      <c r="B150" t="str">
        <f>VLOOKUP(A150, Sales!$A$2:$E$206, 5, FALSE)</f>
        <v>D</v>
      </c>
      <c r="C150" t="str">
        <f>VLOOKUP(A150, Hits!$A$2:$E$206, 5, FALSE)</f>
        <v>D</v>
      </c>
      <c r="D150">
        <f t="shared" si="8"/>
        <v>1</v>
      </c>
      <c r="E150">
        <f t="shared" si="9"/>
        <v>1</v>
      </c>
      <c r="F150" s="15">
        <f t="shared" si="10"/>
        <v>1</v>
      </c>
      <c r="G150" t="str">
        <f t="shared" si="11"/>
        <v>D</v>
      </c>
    </row>
    <row r="151" spans="1:7" x14ac:dyDescent="0.25">
      <c r="A151">
        <v>1082</v>
      </c>
      <c r="B151" t="str">
        <f>VLOOKUP(A151, Sales!$A$2:$E$206, 5, FALSE)</f>
        <v>D</v>
      </c>
      <c r="C151" t="str">
        <f>VLOOKUP(A151, Hits!$A$2:$E$206, 5, FALSE)</f>
        <v>D</v>
      </c>
      <c r="D151">
        <f t="shared" si="8"/>
        <v>1</v>
      </c>
      <c r="E151">
        <f t="shared" si="9"/>
        <v>1</v>
      </c>
      <c r="F151" s="15">
        <f t="shared" si="10"/>
        <v>1</v>
      </c>
      <c r="G151" t="str">
        <f t="shared" si="11"/>
        <v>D</v>
      </c>
    </row>
    <row r="152" spans="1:7" x14ac:dyDescent="0.25">
      <c r="A152">
        <v>1026</v>
      </c>
      <c r="B152" t="str">
        <f>VLOOKUP(A152, Sales!$A$2:$E$206, 5, FALSE)</f>
        <v>D</v>
      </c>
      <c r="C152" t="str">
        <f>VLOOKUP(A152, Hits!$A$2:$E$206, 5, FALSE)</f>
        <v>D</v>
      </c>
      <c r="D152">
        <f t="shared" si="8"/>
        <v>1</v>
      </c>
      <c r="E152">
        <f t="shared" si="9"/>
        <v>1</v>
      </c>
      <c r="F152" s="15">
        <f t="shared" si="10"/>
        <v>1</v>
      </c>
      <c r="G152" t="str">
        <f t="shared" si="11"/>
        <v>D</v>
      </c>
    </row>
    <row r="153" spans="1:7" x14ac:dyDescent="0.25">
      <c r="A153">
        <v>1071</v>
      </c>
      <c r="B153" t="str">
        <f>VLOOKUP(A153, Sales!$A$2:$E$206, 5, FALSE)</f>
        <v>D</v>
      </c>
      <c r="C153" t="str">
        <f>VLOOKUP(A153, Hits!$A$2:$E$206, 5, FALSE)</f>
        <v>D</v>
      </c>
      <c r="D153">
        <f t="shared" si="8"/>
        <v>1</v>
      </c>
      <c r="E153">
        <f t="shared" si="9"/>
        <v>1</v>
      </c>
      <c r="F153" s="15">
        <f t="shared" si="10"/>
        <v>1</v>
      </c>
      <c r="G153" t="str">
        <f t="shared" si="11"/>
        <v>D</v>
      </c>
    </row>
    <row r="154" spans="1:7" x14ac:dyDescent="0.25">
      <c r="A154">
        <v>1095</v>
      </c>
      <c r="B154" t="str">
        <f>VLOOKUP(A154, Sales!$A$2:$E$206, 5, FALSE)</f>
        <v>D</v>
      </c>
      <c r="C154" t="str">
        <f>VLOOKUP(A154, Hits!$A$2:$E$206, 5, FALSE)</f>
        <v>D</v>
      </c>
      <c r="D154">
        <f t="shared" si="8"/>
        <v>1</v>
      </c>
      <c r="E154">
        <f t="shared" si="9"/>
        <v>1</v>
      </c>
      <c r="F154" s="15">
        <f t="shared" si="10"/>
        <v>1</v>
      </c>
      <c r="G154" t="str">
        <f t="shared" si="11"/>
        <v>D</v>
      </c>
    </row>
    <row r="155" spans="1:7" x14ac:dyDescent="0.25">
      <c r="A155">
        <v>1084</v>
      </c>
      <c r="B155" t="str">
        <f>VLOOKUP(A155, Sales!$A$2:$E$206, 5, FALSE)</f>
        <v>D</v>
      </c>
      <c r="C155" t="str">
        <f>VLOOKUP(A155, Hits!$A$2:$E$206, 5, FALSE)</f>
        <v>D</v>
      </c>
      <c r="D155">
        <f t="shared" si="8"/>
        <v>1</v>
      </c>
      <c r="E155">
        <f t="shared" si="9"/>
        <v>1</v>
      </c>
      <c r="F155" s="15">
        <f t="shared" si="10"/>
        <v>1</v>
      </c>
      <c r="G155" t="str">
        <f t="shared" si="11"/>
        <v>D</v>
      </c>
    </row>
    <row r="156" spans="1:7" x14ac:dyDescent="0.25">
      <c r="A156">
        <v>1107</v>
      </c>
      <c r="B156" t="str">
        <f>VLOOKUP(A156, Sales!$A$2:$E$206, 5, FALSE)</f>
        <v>D</v>
      </c>
      <c r="C156" t="str">
        <f>VLOOKUP(A156, Hits!$A$2:$E$206, 5, FALSE)</f>
        <v>D</v>
      </c>
      <c r="D156">
        <f t="shared" si="8"/>
        <v>1</v>
      </c>
      <c r="E156">
        <f t="shared" si="9"/>
        <v>1</v>
      </c>
      <c r="F156" s="15">
        <f t="shared" si="10"/>
        <v>1</v>
      </c>
      <c r="G156" t="str">
        <f t="shared" si="11"/>
        <v>D</v>
      </c>
    </row>
    <row r="157" spans="1:7" x14ac:dyDescent="0.25">
      <c r="A157">
        <v>1074</v>
      </c>
      <c r="B157" t="str">
        <f>VLOOKUP(A157, Sales!$A$2:$E$206, 5, FALSE)</f>
        <v>D</v>
      </c>
      <c r="C157" t="str">
        <f>VLOOKUP(A157, Hits!$A$2:$E$206, 5, FALSE)</f>
        <v>D</v>
      </c>
      <c r="D157">
        <f t="shared" si="8"/>
        <v>1</v>
      </c>
      <c r="E157">
        <f t="shared" si="9"/>
        <v>1</v>
      </c>
      <c r="F157" s="15">
        <f t="shared" si="10"/>
        <v>1</v>
      </c>
      <c r="G157" t="str">
        <f t="shared" si="11"/>
        <v>D</v>
      </c>
    </row>
    <row r="158" spans="1:7" x14ac:dyDescent="0.25">
      <c r="A158">
        <v>1145</v>
      </c>
      <c r="B158" t="str">
        <f>VLOOKUP(A158, Sales!$A$2:$E$206, 5, FALSE)</f>
        <v>D</v>
      </c>
      <c r="C158" t="str">
        <f>VLOOKUP(A158, Hits!$A$2:$E$206, 5, FALSE)</f>
        <v>D</v>
      </c>
      <c r="D158">
        <f t="shared" si="8"/>
        <v>1</v>
      </c>
      <c r="E158">
        <f t="shared" si="9"/>
        <v>1</v>
      </c>
      <c r="F158" s="15">
        <f t="shared" si="10"/>
        <v>1</v>
      </c>
      <c r="G158" t="str">
        <f t="shared" si="11"/>
        <v>D</v>
      </c>
    </row>
    <row r="159" spans="1:7" x14ac:dyDescent="0.25">
      <c r="A159">
        <v>1119</v>
      </c>
      <c r="B159" t="str">
        <f>VLOOKUP(A159, Sales!$A$2:$E$206, 5, FALSE)</f>
        <v>D</v>
      </c>
      <c r="C159" t="str">
        <f>VLOOKUP(A159, Hits!$A$2:$E$206, 5, FALSE)</f>
        <v>D</v>
      </c>
      <c r="D159">
        <f t="shared" si="8"/>
        <v>1</v>
      </c>
      <c r="E159">
        <f t="shared" si="9"/>
        <v>1</v>
      </c>
      <c r="F159" s="15">
        <f t="shared" si="10"/>
        <v>1</v>
      </c>
      <c r="G159" t="str">
        <f t="shared" si="11"/>
        <v>D</v>
      </c>
    </row>
    <row r="160" spans="1:7" x14ac:dyDescent="0.25">
      <c r="A160">
        <v>1149</v>
      </c>
      <c r="B160" t="str">
        <f>VLOOKUP(A160, Sales!$A$2:$E$206, 5, FALSE)</f>
        <v>D</v>
      </c>
      <c r="C160" t="str">
        <f>VLOOKUP(A160, Hits!$A$2:$E$206, 5, FALSE)</f>
        <v>D</v>
      </c>
      <c r="D160">
        <f t="shared" si="8"/>
        <v>1</v>
      </c>
      <c r="E160">
        <f t="shared" si="9"/>
        <v>1</v>
      </c>
      <c r="F160" s="15">
        <f t="shared" si="10"/>
        <v>1</v>
      </c>
      <c r="G160" t="str">
        <f t="shared" si="11"/>
        <v>D</v>
      </c>
    </row>
    <row r="161" spans="1:7" x14ac:dyDescent="0.25">
      <c r="A161">
        <v>1042</v>
      </c>
      <c r="B161" t="str">
        <f>VLOOKUP(A161, Sales!$A$2:$E$206, 5, FALSE)</f>
        <v>D</v>
      </c>
      <c r="C161" t="str">
        <f>VLOOKUP(A161, Hits!$A$2:$E$206, 5, FALSE)</f>
        <v>B</v>
      </c>
      <c r="D161">
        <f t="shared" si="8"/>
        <v>1</v>
      </c>
      <c r="E161">
        <f t="shared" si="9"/>
        <v>3</v>
      </c>
      <c r="F161" s="15">
        <f t="shared" si="10"/>
        <v>1.6999999999999997</v>
      </c>
      <c r="G161" t="str">
        <f t="shared" si="11"/>
        <v>D</v>
      </c>
    </row>
    <row r="162" spans="1:7" x14ac:dyDescent="0.25">
      <c r="A162">
        <v>1102</v>
      </c>
      <c r="B162" t="str">
        <f>VLOOKUP(A162, Sales!$A$2:$E$206, 5, FALSE)</f>
        <v>D</v>
      </c>
      <c r="C162" t="str">
        <f>VLOOKUP(A162, Hits!$A$2:$E$206, 5, FALSE)</f>
        <v>D</v>
      </c>
      <c r="D162">
        <f t="shared" si="8"/>
        <v>1</v>
      </c>
      <c r="E162">
        <f t="shared" si="9"/>
        <v>1</v>
      </c>
      <c r="F162" s="15">
        <f t="shared" si="10"/>
        <v>1</v>
      </c>
      <c r="G162" t="str">
        <f t="shared" si="11"/>
        <v>D</v>
      </c>
    </row>
    <row r="163" spans="1:7" x14ac:dyDescent="0.25">
      <c r="A163">
        <v>1137</v>
      </c>
      <c r="B163" t="str">
        <f>VLOOKUP(A163, Sales!$A$2:$E$206, 5, FALSE)</f>
        <v>D</v>
      </c>
      <c r="C163" t="str">
        <f>VLOOKUP(A163, Hits!$A$2:$E$206, 5, FALSE)</f>
        <v>D</v>
      </c>
      <c r="D163">
        <f t="shared" si="8"/>
        <v>1</v>
      </c>
      <c r="E163">
        <f t="shared" si="9"/>
        <v>1</v>
      </c>
      <c r="F163" s="15">
        <f t="shared" si="10"/>
        <v>1</v>
      </c>
      <c r="G163" t="str">
        <f t="shared" si="11"/>
        <v>D</v>
      </c>
    </row>
    <row r="164" spans="1:7" x14ac:dyDescent="0.25">
      <c r="A164">
        <v>1101</v>
      </c>
      <c r="B164" t="str">
        <f>VLOOKUP(A164, Sales!$A$2:$E$206, 5, FALSE)</f>
        <v>D</v>
      </c>
      <c r="C164" t="str">
        <f>VLOOKUP(A164, Hits!$A$2:$E$206, 5, FALSE)</f>
        <v>D</v>
      </c>
      <c r="D164">
        <f t="shared" si="8"/>
        <v>1</v>
      </c>
      <c r="E164">
        <f t="shared" si="9"/>
        <v>1</v>
      </c>
      <c r="F164" s="15">
        <f t="shared" si="10"/>
        <v>1</v>
      </c>
      <c r="G164" t="str">
        <f t="shared" si="11"/>
        <v>D</v>
      </c>
    </row>
    <row r="165" spans="1:7" x14ac:dyDescent="0.25">
      <c r="A165">
        <v>1141</v>
      </c>
      <c r="B165" t="str">
        <f>VLOOKUP(A165, Sales!$A$2:$E$206, 5, FALSE)</f>
        <v>D</v>
      </c>
      <c r="C165" t="str">
        <f>VLOOKUP(A165, Hits!$A$2:$E$206, 5, FALSE)</f>
        <v>D</v>
      </c>
      <c r="D165">
        <f t="shared" si="8"/>
        <v>1</v>
      </c>
      <c r="E165">
        <f t="shared" si="9"/>
        <v>1</v>
      </c>
      <c r="F165" s="15">
        <f t="shared" si="10"/>
        <v>1</v>
      </c>
      <c r="G165" t="str">
        <f t="shared" si="11"/>
        <v>D</v>
      </c>
    </row>
    <row r="166" spans="1:7" x14ac:dyDescent="0.25">
      <c r="A166">
        <v>1114</v>
      </c>
      <c r="B166" t="str">
        <f>VLOOKUP(A166, Sales!$A$2:$E$206, 5, FALSE)</f>
        <v>D</v>
      </c>
      <c r="C166" t="str">
        <f>VLOOKUP(A166, Hits!$A$2:$E$206, 5, FALSE)</f>
        <v>D</v>
      </c>
      <c r="D166">
        <f t="shared" si="8"/>
        <v>1</v>
      </c>
      <c r="E166">
        <f t="shared" si="9"/>
        <v>1</v>
      </c>
      <c r="F166" s="15">
        <f t="shared" si="10"/>
        <v>1</v>
      </c>
      <c r="G166" t="str">
        <f t="shared" si="11"/>
        <v>D</v>
      </c>
    </row>
    <row r="167" spans="1:7" x14ac:dyDescent="0.25">
      <c r="A167">
        <v>1142</v>
      </c>
      <c r="B167" t="str">
        <f>VLOOKUP(A167, Sales!$A$2:$E$206, 5, FALSE)</f>
        <v>D</v>
      </c>
      <c r="C167" t="str">
        <f>VLOOKUP(A167, Hits!$A$2:$E$206, 5, FALSE)</f>
        <v>D</v>
      </c>
      <c r="D167">
        <f t="shared" si="8"/>
        <v>1</v>
      </c>
      <c r="E167">
        <f t="shared" si="9"/>
        <v>1</v>
      </c>
      <c r="F167" s="15">
        <f t="shared" si="10"/>
        <v>1</v>
      </c>
      <c r="G167" t="str">
        <f t="shared" si="11"/>
        <v>D</v>
      </c>
    </row>
    <row r="168" spans="1:7" x14ac:dyDescent="0.25">
      <c r="A168">
        <v>1079</v>
      </c>
      <c r="B168" t="str">
        <f>VLOOKUP(A168, Sales!$A$2:$E$206, 5, FALSE)</f>
        <v>D</v>
      </c>
      <c r="C168" t="str">
        <f>VLOOKUP(A168, Hits!$A$2:$E$206, 5, FALSE)</f>
        <v>D</v>
      </c>
      <c r="D168">
        <f t="shared" si="8"/>
        <v>1</v>
      </c>
      <c r="E168">
        <f t="shared" si="9"/>
        <v>1</v>
      </c>
      <c r="F168" s="15">
        <f t="shared" si="10"/>
        <v>1</v>
      </c>
      <c r="G168" t="str">
        <f t="shared" si="11"/>
        <v>D</v>
      </c>
    </row>
    <row r="169" spans="1:7" x14ac:dyDescent="0.25">
      <c r="A169">
        <v>1122</v>
      </c>
      <c r="B169" t="str">
        <f>VLOOKUP(A169, Sales!$A$2:$E$206, 5, FALSE)</f>
        <v>D</v>
      </c>
      <c r="C169" t="str">
        <f>VLOOKUP(A169, Hits!$A$2:$E$206, 5, FALSE)</f>
        <v>D</v>
      </c>
      <c r="D169">
        <f t="shared" si="8"/>
        <v>1</v>
      </c>
      <c r="E169">
        <f t="shared" si="9"/>
        <v>1</v>
      </c>
      <c r="F169" s="15">
        <f t="shared" si="10"/>
        <v>1</v>
      </c>
      <c r="G169" t="str">
        <f t="shared" si="11"/>
        <v>D</v>
      </c>
    </row>
    <row r="170" spans="1:7" x14ac:dyDescent="0.25">
      <c r="A170">
        <v>1108</v>
      </c>
      <c r="B170" t="str">
        <f>VLOOKUP(A170, Sales!$A$2:$E$206, 5, FALSE)</f>
        <v>D</v>
      </c>
      <c r="C170" t="str">
        <f>VLOOKUP(A170, Hits!$A$2:$E$206, 5, FALSE)</f>
        <v>D</v>
      </c>
      <c r="D170">
        <f t="shared" si="8"/>
        <v>1</v>
      </c>
      <c r="E170">
        <f t="shared" si="9"/>
        <v>1</v>
      </c>
      <c r="F170" s="15">
        <f t="shared" si="10"/>
        <v>1</v>
      </c>
      <c r="G170" t="str">
        <f t="shared" si="11"/>
        <v>D</v>
      </c>
    </row>
    <row r="171" spans="1:7" x14ac:dyDescent="0.25">
      <c r="A171">
        <v>1112</v>
      </c>
      <c r="B171" t="str">
        <f>VLOOKUP(A171, Sales!$A$2:$E$206, 5, FALSE)</f>
        <v>D</v>
      </c>
      <c r="C171" t="str">
        <f>VLOOKUP(A171, Hits!$A$2:$E$206, 5, FALSE)</f>
        <v>D</v>
      </c>
      <c r="D171">
        <f t="shared" si="8"/>
        <v>1</v>
      </c>
      <c r="E171">
        <f t="shared" si="9"/>
        <v>1</v>
      </c>
      <c r="F171" s="15">
        <f t="shared" si="10"/>
        <v>1</v>
      </c>
      <c r="G171" t="str">
        <f t="shared" si="11"/>
        <v>D</v>
      </c>
    </row>
    <row r="172" spans="1:7" x14ac:dyDescent="0.25">
      <c r="A172">
        <v>1044</v>
      </c>
      <c r="B172" t="str">
        <f>VLOOKUP(A172, Sales!$A$2:$E$206, 5, FALSE)</f>
        <v>D</v>
      </c>
      <c r="C172" t="str">
        <f>VLOOKUP(A172, Hits!$A$2:$E$206, 5, FALSE)</f>
        <v>B</v>
      </c>
      <c r="D172">
        <f t="shared" si="8"/>
        <v>1</v>
      </c>
      <c r="E172">
        <f t="shared" si="9"/>
        <v>3</v>
      </c>
      <c r="F172" s="15">
        <f t="shared" si="10"/>
        <v>1.6999999999999997</v>
      </c>
      <c r="G172" t="str">
        <f t="shared" si="11"/>
        <v>D</v>
      </c>
    </row>
    <row r="173" spans="1:7" x14ac:dyDescent="0.25">
      <c r="A173">
        <v>1147</v>
      </c>
      <c r="B173" t="str">
        <f>VLOOKUP(A173, Sales!$A$2:$E$206, 5, FALSE)</f>
        <v>D</v>
      </c>
      <c r="C173" t="str">
        <f>VLOOKUP(A173, Hits!$A$2:$E$206, 5, FALSE)</f>
        <v>D</v>
      </c>
      <c r="D173">
        <f t="shared" si="8"/>
        <v>1</v>
      </c>
      <c r="E173">
        <f t="shared" si="9"/>
        <v>1</v>
      </c>
      <c r="F173" s="15">
        <f t="shared" si="10"/>
        <v>1</v>
      </c>
      <c r="G173" t="str">
        <f t="shared" si="11"/>
        <v>D</v>
      </c>
    </row>
    <row r="174" spans="1:7" x14ac:dyDescent="0.25">
      <c r="A174">
        <v>1116</v>
      </c>
      <c r="B174" t="str">
        <f>VLOOKUP(A174, Sales!$A$2:$E$206, 5, FALSE)</f>
        <v>D</v>
      </c>
      <c r="C174" t="str">
        <f>VLOOKUP(A174, Hits!$A$2:$E$206, 5, FALSE)</f>
        <v>D</v>
      </c>
      <c r="D174">
        <f t="shared" si="8"/>
        <v>1</v>
      </c>
      <c r="E174">
        <f t="shared" si="9"/>
        <v>1</v>
      </c>
      <c r="F174" s="15">
        <f t="shared" si="10"/>
        <v>1</v>
      </c>
      <c r="G174" t="str">
        <f t="shared" si="11"/>
        <v>D</v>
      </c>
    </row>
    <row r="175" spans="1:7" x14ac:dyDescent="0.25">
      <c r="A175">
        <v>1017</v>
      </c>
      <c r="B175" t="str">
        <f>VLOOKUP(A175, Sales!$A$2:$E$206, 5, FALSE)</f>
        <v>D</v>
      </c>
      <c r="C175" t="str">
        <f>VLOOKUP(A175, Hits!$A$2:$E$206, 5, FALSE)</f>
        <v>D</v>
      </c>
      <c r="D175">
        <f t="shared" si="8"/>
        <v>1</v>
      </c>
      <c r="E175">
        <f t="shared" si="9"/>
        <v>1</v>
      </c>
      <c r="F175" s="15">
        <f t="shared" si="10"/>
        <v>1</v>
      </c>
      <c r="G175" t="str">
        <f t="shared" si="11"/>
        <v>D</v>
      </c>
    </row>
    <row r="176" spans="1:7" x14ac:dyDescent="0.25">
      <c r="A176">
        <v>1027</v>
      </c>
      <c r="B176" t="str">
        <f>VLOOKUP(A176, Sales!$A$2:$E$206, 5, FALSE)</f>
        <v>D</v>
      </c>
      <c r="C176" t="str">
        <f>VLOOKUP(A176, Hits!$A$2:$E$206, 5, FALSE)</f>
        <v>D</v>
      </c>
      <c r="D176">
        <f t="shared" si="8"/>
        <v>1</v>
      </c>
      <c r="E176">
        <f t="shared" si="9"/>
        <v>1</v>
      </c>
      <c r="F176" s="15">
        <f t="shared" si="10"/>
        <v>1</v>
      </c>
      <c r="G176" t="str">
        <f t="shared" si="11"/>
        <v>D</v>
      </c>
    </row>
    <row r="177" spans="1:7" x14ac:dyDescent="0.25">
      <c r="A177">
        <v>1098</v>
      </c>
      <c r="B177" t="str">
        <f>VLOOKUP(A177, Sales!$A$2:$E$206, 5, FALSE)</f>
        <v>D</v>
      </c>
      <c r="C177" t="str">
        <f>VLOOKUP(A177, Hits!$A$2:$E$206, 5, FALSE)</f>
        <v>D</v>
      </c>
      <c r="D177">
        <f t="shared" si="8"/>
        <v>1</v>
      </c>
      <c r="E177">
        <f t="shared" si="9"/>
        <v>1</v>
      </c>
      <c r="F177" s="15">
        <f t="shared" si="10"/>
        <v>1</v>
      </c>
      <c r="G177" t="str">
        <f t="shared" si="11"/>
        <v>D</v>
      </c>
    </row>
    <row r="178" spans="1:7" x14ac:dyDescent="0.25">
      <c r="A178">
        <v>1073</v>
      </c>
      <c r="B178" t="str">
        <f>VLOOKUP(A178, Sales!$A$2:$E$206, 5, FALSE)</f>
        <v>D</v>
      </c>
      <c r="C178" t="str">
        <f>VLOOKUP(A178, Hits!$A$2:$E$206, 5, FALSE)</f>
        <v>D</v>
      </c>
      <c r="D178">
        <f t="shared" si="8"/>
        <v>1</v>
      </c>
      <c r="E178">
        <f t="shared" si="9"/>
        <v>1</v>
      </c>
      <c r="F178" s="15">
        <f t="shared" si="10"/>
        <v>1</v>
      </c>
      <c r="G178" t="str">
        <f t="shared" si="11"/>
        <v>D</v>
      </c>
    </row>
    <row r="179" spans="1:7" x14ac:dyDescent="0.25">
      <c r="A179">
        <v>1085</v>
      </c>
      <c r="B179" t="str">
        <f>VLOOKUP(A179, Sales!$A$2:$E$206, 5, FALSE)</f>
        <v>D</v>
      </c>
      <c r="C179" t="str">
        <f>VLOOKUP(A179, Hits!$A$2:$E$206, 5, FALSE)</f>
        <v>D</v>
      </c>
      <c r="D179">
        <f t="shared" si="8"/>
        <v>1</v>
      </c>
      <c r="E179">
        <f t="shared" si="9"/>
        <v>1</v>
      </c>
      <c r="F179" s="15">
        <f t="shared" si="10"/>
        <v>1</v>
      </c>
      <c r="G179" t="str">
        <f t="shared" si="11"/>
        <v>D</v>
      </c>
    </row>
    <row r="180" spans="1:7" x14ac:dyDescent="0.25">
      <c r="A180">
        <v>1022</v>
      </c>
      <c r="B180" t="str">
        <f>VLOOKUP(A180, Sales!$A$2:$E$206, 5, FALSE)</f>
        <v>D</v>
      </c>
      <c r="C180" t="str">
        <f>VLOOKUP(A180, Hits!$A$2:$E$206, 5, FALSE)</f>
        <v>D</v>
      </c>
      <c r="D180">
        <f t="shared" si="8"/>
        <v>1</v>
      </c>
      <c r="E180">
        <f t="shared" si="9"/>
        <v>1</v>
      </c>
      <c r="F180" s="15">
        <f t="shared" si="10"/>
        <v>1</v>
      </c>
      <c r="G180" t="str">
        <f t="shared" si="11"/>
        <v>D</v>
      </c>
    </row>
    <row r="181" spans="1:7" x14ac:dyDescent="0.25">
      <c r="A181">
        <v>1118</v>
      </c>
      <c r="B181" t="str">
        <f>VLOOKUP(A181, Sales!$A$2:$E$206, 5, FALSE)</f>
        <v>D</v>
      </c>
      <c r="C181" t="str">
        <f>VLOOKUP(A181, Hits!$A$2:$E$206, 5, FALSE)</f>
        <v>D</v>
      </c>
      <c r="D181">
        <f t="shared" si="8"/>
        <v>1</v>
      </c>
      <c r="E181">
        <f t="shared" si="9"/>
        <v>1</v>
      </c>
      <c r="F181" s="15">
        <f t="shared" si="10"/>
        <v>1</v>
      </c>
      <c r="G181" t="str">
        <f t="shared" si="11"/>
        <v>D</v>
      </c>
    </row>
    <row r="182" spans="1:7" x14ac:dyDescent="0.25">
      <c r="A182">
        <v>1124</v>
      </c>
      <c r="B182" t="str">
        <f>VLOOKUP(A182, Sales!$A$2:$E$206, 5, FALSE)</f>
        <v>D</v>
      </c>
      <c r="C182" t="str">
        <f>VLOOKUP(A182, Hits!$A$2:$E$206, 5, FALSE)</f>
        <v>D</v>
      </c>
      <c r="D182">
        <f t="shared" si="8"/>
        <v>1</v>
      </c>
      <c r="E182">
        <f t="shared" si="9"/>
        <v>1</v>
      </c>
      <c r="F182" s="15">
        <f t="shared" si="10"/>
        <v>1</v>
      </c>
      <c r="G182" t="str">
        <f t="shared" si="11"/>
        <v>D</v>
      </c>
    </row>
    <row r="183" spans="1:7" x14ac:dyDescent="0.25">
      <c r="A183">
        <v>1072</v>
      </c>
      <c r="B183" t="str">
        <f>VLOOKUP(A183, Sales!$A$2:$E$206, 5, FALSE)</f>
        <v>D</v>
      </c>
      <c r="C183" t="str">
        <f>VLOOKUP(A183, Hits!$A$2:$E$206, 5, FALSE)</f>
        <v>D</v>
      </c>
      <c r="D183">
        <f t="shared" si="8"/>
        <v>1</v>
      </c>
      <c r="E183">
        <f t="shared" si="9"/>
        <v>1</v>
      </c>
      <c r="F183" s="15">
        <f t="shared" si="10"/>
        <v>1</v>
      </c>
      <c r="G183" t="str">
        <f t="shared" si="11"/>
        <v>D</v>
      </c>
    </row>
    <row r="184" spans="1:7" x14ac:dyDescent="0.25">
      <c r="A184">
        <v>1078</v>
      </c>
      <c r="B184" t="str">
        <f>VLOOKUP(A184, Sales!$A$2:$E$206, 5, FALSE)</f>
        <v>D</v>
      </c>
      <c r="C184" t="str">
        <f>VLOOKUP(A184, Hits!$A$2:$E$206, 5, FALSE)</f>
        <v>D</v>
      </c>
      <c r="D184">
        <f t="shared" si="8"/>
        <v>1</v>
      </c>
      <c r="E184">
        <f t="shared" si="9"/>
        <v>1</v>
      </c>
      <c r="F184" s="15">
        <f t="shared" si="10"/>
        <v>1</v>
      </c>
      <c r="G184" t="str">
        <f t="shared" si="11"/>
        <v>D</v>
      </c>
    </row>
    <row r="185" spans="1:7" x14ac:dyDescent="0.25">
      <c r="A185">
        <v>1146</v>
      </c>
      <c r="B185" t="str">
        <f>VLOOKUP(A185, Sales!$A$2:$E$206, 5, FALSE)</f>
        <v>D</v>
      </c>
      <c r="C185" t="str">
        <f>VLOOKUP(A185, Hits!$A$2:$E$206, 5, FALSE)</f>
        <v>D</v>
      </c>
      <c r="D185">
        <f t="shared" si="8"/>
        <v>1</v>
      </c>
      <c r="E185">
        <f t="shared" si="9"/>
        <v>1</v>
      </c>
      <c r="F185" s="15">
        <f t="shared" si="10"/>
        <v>1</v>
      </c>
      <c r="G185" t="str">
        <f t="shared" si="11"/>
        <v>D</v>
      </c>
    </row>
    <row r="186" spans="1:7" x14ac:dyDescent="0.25">
      <c r="A186">
        <v>1077</v>
      </c>
      <c r="B186" t="str">
        <f>VLOOKUP(A186, Sales!$A$2:$E$206, 5, FALSE)</f>
        <v>D</v>
      </c>
      <c r="C186" t="str">
        <f>VLOOKUP(A186, Hits!$A$2:$E$206, 5, FALSE)</f>
        <v>D</v>
      </c>
      <c r="D186">
        <f t="shared" si="8"/>
        <v>1</v>
      </c>
      <c r="E186">
        <f t="shared" si="9"/>
        <v>1</v>
      </c>
      <c r="F186" s="15">
        <f t="shared" si="10"/>
        <v>1</v>
      </c>
      <c r="G186" t="str">
        <f t="shared" si="11"/>
        <v>D</v>
      </c>
    </row>
    <row r="187" spans="1:7" x14ac:dyDescent="0.25">
      <c r="A187">
        <v>1024</v>
      </c>
      <c r="B187" t="str">
        <f>VLOOKUP(A187, Sales!$A$2:$E$206, 5, FALSE)</f>
        <v>D</v>
      </c>
      <c r="C187" t="str">
        <f>VLOOKUP(A187, Hits!$A$2:$E$206, 5, FALSE)</f>
        <v>D</v>
      </c>
      <c r="D187">
        <f t="shared" si="8"/>
        <v>1</v>
      </c>
      <c r="E187">
        <f t="shared" si="9"/>
        <v>1</v>
      </c>
      <c r="F187" s="15">
        <f t="shared" si="10"/>
        <v>1</v>
      </c>
      <c r="G187" t="str">
        <f t="shared" si="11"/>
        <v>D</v>
      </c>
    </row>
    <row r="188" spans="1:7" x14ac:dyDescent="0.25">
      <c r="A188">
        <v>1075</v>
      </c>
      <c r="B188" t="str">
        <f>VLOOKUP(A188, Sales!$A$2:$E$206, 5, FALSE)</f>
        <v>D</v>
      </c>
      <c r="C188" t="str">
        <f>VLOOKUP(A188, Hits!$A$2:$E$206, 5, FALSE)</f>
        <v>D</v>
      </c>
      <c r="D188">
        <f t="shared" si="8"/>
        <v>1</v>
      </c>
      <c r="E188">
        <f t="shared" si="9"/>
        <v>1</v>
      </c>
      <c r="F188" s="15">
        <f t="shared" si="10"/>
        <v>1</v>
      </c>
      <c r="G188" t="str">
        <f t="shared" si="11"/>
        <v>D</v>
      </c>
    </row>
    <row r="189" spans="1:7" x14ac:dyDescent="0.25">
      <c r="A189">
        <v>1121</v>
      </c>
      <c r="B189" t="str">
        <f>VLOOKUP(A189, Sales!$A$2:$E$206, 5, FALSE)</f>
        <v>D</v>
      </c>
      <c r="C189" t="str">
        <f>VLOOKUP(A189, Hits!$A$2:$E$206, 5, FALSE)</f>
        <v>D</v>
      </c>
      <c r="D189">
        <f t="shared" si="8"/>
        <v>1</v>
      </c>
      <c r="E189">
        <f t="shared" si="9"/>
        <v>1</v>
      </c>
      <c r="F189" s="15">
        <f t="shared" si="10"/>
        <v>1</v>
      </c>
      <c r="G189" t="str">
        <f t="shared" si="11"/>
        <v>D</v>
      </c>
    </row>
    <row r="190" spans="1:7" x14ac:dyDescent="0.25">
      <c r="A190">
        <v>1148</v>
      </c>
      <c r="B190" t="str">
        <f>VLOOKUP(A190, Sales!$A$2:$E$206, 5, FALSE)</f>
        <v>D</v>
      </c>
      <c r="C190" t="str">
        <f>VLOOKUP(A190, Hits!$A$2:$E$206, 5, FALSE)</f>
        <v>D</v>
      </c>
      <c r="D190">
        <f t="shared" si="8"/>
        <v>1</v>
      </c>
      <c r="E190">
        <f t="shared" si="9"/>
        <v>1</v>
      </c>
      <c r="F190" s="15">
        <f t="shared" si="10"/>
        <v>1</v>
      </c>
      <c r="G190" t="str">
        <f t="shared" si="11"/>
        <v>D</v>
      </c>
    </row>
    <row r="191" spans="1:7" x14ac:dyDescent="0.25">
      <c r="A191">
        <v>1103</v>
      </c>
      <c r="B191" t="str">
        <f>VLOOKUP(A191, Sales!$A$2:$E$206, 5, FALSE)</f>
        <v>D</v>
      </c>
      <c r="C191" t="str">
        <f>VLOOKUP(A191, Hits!$A$2:$E$206, 5, FALSE)</f>
        <v>D</v>
      </c>
      <c r="D191">
        <f t="shared" si="8"/>
        <v>1</v>
      </c>
      <c r="E191">
        <f t="shared" si="9"/>
        <v>1</v>
      </c>
      <c r="F191" s="15">
        <f t="shared" si="10"/>
        <v>1</v>
      </c>
      <c r="G191" t="str">
        <f t="shared" si="11"/>
        <v>D</v>
      </c>
    </row>
    <row r="192" spans="1:7" x14ac:dyDescent="0.25">
      <c r="A192">
        <v>1097</v>
      </c>
      <c r="B192" t="str">
        <f>VLOOKUP(A192, Sales!$A$2:$E$206, 5, FALSE)</f>
        <v>D</v>
      </c>
      <c r="C192" t="str">
        <f>VLOOKUP(A192, Hits!$A$2:$E$206, 5, FALSE)</f>
        <v>D</v>
      </c>
      <c r="D192">
        <f t="shared" si="8"/>
        <v>1</v>
      </c>
      <c r="E192">
        <f t="shared" si="9"/>
        <v>1</v>
      </c>
      <c r="F192" s="15">
        <f t="shared" si="10"/>
        <v>1</v>
      </c>
      <c r="G192" t="str">
        <f t="shared" si="11"/>
        <v>D</v>
      </c>
    </row>
    <row r="193" spans="1:7" x14ac:dyDescent="0.25">
      <c r="A193">
        <v>1076</v>
      </c>
      <c r="B193" t="str">
        <f>VLOOKUP(A193, Sales!$A$2:$E$206, 5, FALSE)</f>
        <v>D</v>
      </c>
      <c r="C193" t="str">
        <f>VLOOKUP(A193, Hits!$A$2:$E$206, 5, FALSE)</f>
        <v>D</v>
      </c>
      <c r="D193">
        <f t="shared" si="8"/>
        <v>1</v>
      </c>
      <c r="E193">
        <f t="shared" si="9"/>
        <v>1</v>
      </c>
      <c r="F193" s="15">
        <f t="shared" si="10"/>
        <v>1</v>
      </c>
      <c r="G193" t="str">
        <f t="shared" si="11"/>
        <v>D</v>
      </c>
    </row>
    <row r="194" spans="1:7" x14ac:dyDescent="0.25">
      <c r="A194">
        <v>1019</v>
      </c>
      <c r="B194" t="str">
        <f>VLOOKUP(A194, Sales!$A$2:$E$206, 5, FALSE)</f>
        <v>D</v>
      </c>
      <c r="C194" t="str">
        <f>VLOOKUP(A194, Hits!$A$2:$E$206, 5, FALSE)</f>
        <v>D</v>
      </c>
      <c r="D194">
        <f t="shared" si="8"/>
        <v>1</v>
      </c>
      <c r="E194">
        <f t="shared" si="9"/>
        <v>1</v>
      </c>
      <c r="F194" s="15">
        <f t="shared" si="10"/>
        <v>1</v>
      </c>
      <c r="G194" t="str">
        <f t="shared" si="11"/>
        <v>D</v>
      </c>
    </row>
    <row r="195" spans="1:7" x14ac:dyDescent="0.25">
      <c r="A195">
        <v>1120</v>
      </c>
      <c r="B195" t="str">
        <f>VLOOKUP(A195, Sales!$A$2:$E$206, 5, FALSE)</f>
        <v>D</v>
      </c>
      <c r="C195" t="str">
        <f>VLOOKUP(A195, Hits!$A$2:$E$206, 5, FALSE)</f>
        <v>D</v>
      </c>
      <c r="D195">
        <f t="shared" ref="D195:D206" si="12">VLOOKUP(B195, $J$9:$K$12, 2, FALSE)</f>
        <v>1</v>
      </c>
      <c r="E195">
        <f t="shared" ref="E195:E206" si="13">VLOOKUP(C195, $J$9:$K$12, 2, FALSE)</f>
        <v>1</v>
      </c>
      <c r="F195" s="15">
        <f t="shared" ref="F195:F206" si="14">D195*$K$4+E195*$K$5</f>
        <v>1</v>
      </c>
      <c r="G195" t="str">
        <f t="shared" ref="G195:G206" si="15">VLOOKUP(F195, $J$22:$K$25, 2, 1)</f>
        <v>D</v>
      </c>
    </row>
    <row r="196" spans="1:7" x14ac:dyDescent="0.25">
      <c r="A196">
        <v>1105</v>
      </c>
      <c r="B196" t="str">
        <f>VLOOKUP(A196, Sales!$A$2:$E$206, 5, FALSE)</f>
        <v>D</v>
      </c>
      <c r="C196" t="str">
        <f>VLOOKUP(A196, Hits!$A$2:$E$206, 5, FALSE)</f>
        <v>D</v>
      </c>
      <c r="D196">
        <f t="shared" si="12"/>
        <v>1</v>
      </c>
      <c r="E196">
        <f t="shared" si="13"/>
        <v>1</v>
      </c>
      <c r="F196" s="15">
        <f t="shared" si="14"/>
        <v>1</v>
      </c>
      <c r="G196" t="str">
        <f t="shared" si="15"/>
        <v>D</v>
      </c>
    </row>
    <row r="197" spans="1:7" x14ac:dyDescent="0.25">
      <c r="A197">
        <v>1144</v>
      </c>
      <c r="B197" t="str">
        <f>VLOOKUP(A197, Sales!$A$2:$E$206, 5, FALSE)</f>
        <v>D</v>
      </c>
      <c r="C197" t="str">
        <f>VLOOKUP(A197, Hits!$A$2:$E$206, 5, FALSE)</f>
        <v>D</v>
      </c>
      <c r="D197">
        <f t="shared" si="12"/>
        <v>1</v>
      </c>
      <c r="E197">
        <f t="shared" si="13"/>
        <v>1</v>
      </c>
      <c r="F197" s="15">
        <f t="shared" si="14"/>
        <v>1</v>
      </c>
      <c r="G197" t="str">
        <f t="shared" si="15"/>
        <v>D</v>
      </c>
    </row>
    <row r="198" spans="1:7" x14ac:dyDescent="0.25">
      <c r="A198">
        <v>1109</v>
      </c>
      <c r="B198" t="str">
        <f>VLOOKUP(A198, Sales!$A$2:$E$206, 5, FALSE)</f>
        <v>D</v>
      </c>
      <c r="C198" t="str">
        <f>VLOOKUP(A198, Hits!$A$2:$E$206, 5, FALSE)</f>
        <v>D</v>
      </c>
      <c r="D198">
        <f t="shared" si="12"/>
        <v>1</v>
      </c>
      <c r="E198">
        <f t="shared" si="13"/>
        <v>1</v>
      </c>
      <c r="F198" s="15">
        <f t="shared" si="14"/>
        <v>1</v>
      </c>
      <c r="G198" t="str">
        <f t="shared" si="15"/>
        <v>D</v>
      </c>
    </row>
    <row r="199" spans="1:7" x14ac:dyDescent="0.25">
      <c r="A199">
        <v>1115</v>
      </c>
      <c r="B199" t="str">
        <f>VLOOKUP(A199, Sales!$A$2:$E$206, 5, FALSE)</f>
        <v>D</v>
      </c>
      <c r="C199" t="str">
        <f>VLOOKUP(A199, Hits!$A$2:$E$206, 5, FALSE)</f>
        <v>D</v>
      </c>
      <c r="D199">
        <f t="shared" si="12"/>
        <v>1</v>
      </c>
      <c r="E199">
        <f t="shared" si="13"/>
        <v>1</v>
      </c>
      <c r="F199" s="15">
        <f t="shared" si="14"/>
        <v>1</v>
      </c>
      <c r="G199" t="str">
        <f t="shared" si="15"/>
        <v>D</v>
      </c>
    </row>
    <row r="200" spans="1:7" x14ac:dyDescent="0.25">
      <c r="A200">
        <v>1123</v>
      </c>
      <c r="B200" t="str">
        <f>VLOOKUP(A200, Sales!$A$2:$E$206, 5, FALSE)</f>
        <v>D</v>
      </c>
      <c r="C200" t="str">
        <f>VLOOKUP(A200, Hits!$A$2:$E$206, 5, FALSE)</f>
        <v>D</v>
      </c>
      <c r="D200">
        <f t="shared" si="12"/>
        <v>1</v>
      </c>
      <c r="E200">
        <f t="shared" si="13"/>
        <v>1</v>
      </c>
      <c r="F200" s="15">
        <f t="shared" si="14"/>
        <v>1</v>
      </c>
      <c r="G200" t="str">
        <f t="shared" si="15"/>
        <v>D</v>
      </c>
    </row>
    <row r="201" spans="1:7" x14ac:dyDescent="0.25">
      <c r="A201">
        <v>1113</v>
      </c>
      <c r="B201" t="str">
        <f>VLOOKUP(A201, Sales!$A$2:$E$206, 5, FALSE)</f>
        <v>D</v>
      </c>
      <c r="C201" t="str">
        <f>VLOOKUP(A201, Hits!$A$2:$E$206, 5, FALSE)</f>
        <v>D</v>
      </c>
      <c r="D201">
        <f t="shared" si="12"/>
        <v>1</v>
      </c>
      <c r="E201">
        <f t="shared" si="13"/>
        <v>1</v>
      </c>
      <c r="F201" s="15">
        <f t="shared" si="14"/>
        <v>1</v>
      </c>
      <c r="G201" t="str">
        <f t="shared" si="15"/>
        <v>D</v>
      </c>
    </row>
    <row r="202" spans="1:7" x14ac:dyDescent="0.25">
      <c r="A202">
        <v>1016</v>
      </c>
      <c r="B202" t="str">
        <f>VLOOKUP(A202, Sales!$A$2:$E$206, 5, FALSE)</f>
        <v>D</v>
      </c>
      <c r="C202" t="str">
        <f>VLOOKUP(A202, Hits!$A$2:$E$206, 5, FALSE)</f>
        <v>D</v>
      </c>
      <c r="D202">
        <f t="shared" si="12"/>
        <v>1</v>
      </c>
      <c r="E202">
        <f t="shared" si="13"/>
        <v>1</v>
      </c>
      <c r="F202" s="15">
        <f t="shared" si="14"/>
        <v>1</v>
      </c>
      <c r="G202" t="str">
        <f t="shared" si="15"/>
        <v>D</v>
      </c>
    </row>
    <row r="203" spans="1:7" x14ac:dyDescent="0.25">
      <c r="A203">
        <v>1083</v>
      </c>
      <c r="B203" t="str">
        <f>VLOOKUP(A203, Sales!$A$2:$E$206, 5, FALSE)</f>
        <v>D</v>
      </c>
      <c r="C203" t="str">
        <f>VLOOKUP(A203, Hits!$A$2:$E$206, 5, FALSE)</f>
        <v>D</v>
      </c>
      <c r="D203">
        <f t="shared" si="12"/>
        <v>1</v>
      </c>
      <c r="E203">
        <f t="shared" si="13"/>
        <v>1</v>
      </c>
      <c r="F203" s="15">
        <f t="shared" si="14"/>
        <v>1</v>
      </c>
      <c r="G203" t="str">
        <f t="shared" si="15"/>
        <v>D</v>
      </c>
    </row>
    <row r="204" spans="1:7" x14ac:dyDescent="0.25">
      <c r="A204">
        <v>1013</v>
      </c>
      <c r="B204" t="str">
        <f>VLOOKUP(A204, Sales!$A$2:$E$206, 5, FALSE)</f>
        <v>D</v>
      </c>
      <c r="C204" t="str">
        <f>VLOOKUP(A204, Hits!$A$2:$E$206, 5, FALSE)</f>
        <v>D</v>
      </c>
      <c r="D204">
        <f t="shared" si="12"/>
        <v>1</v>
      </c>
      <c r="E204">
        <f t="shared" si="13"/>
        <v>1</v>
      </c>
      <c r="F204" s="15">
        <f t="shared" si="14"/>
        <v>1</v>
      </c>
      <c r="G204" t="str">
        <f t="shared" si="15"/>
        <v>D</v>
      </c>
    </row>
    <row r="205" spans="1:7" x14ac:dyDescent="0.25">
      <c r="A205">
        <v>1086</v>
      </c>
      <c r="B205" t="str">
        <f>VLOOKUP(A205, Sales!$A$2:$E$206, 5, FALSE)</f>
        <v>D</v>
      </c>
      <c r="C205" t="str">
        <f>VLOOKUP(A205, Hits!$A$2:$E$206, 5, FALSE)</f>
        <v>D</v>
      </c>
      <c r="D205">
        <f t="shared" si="12"/>
        <v>1</v>
      </c>
      <c r="E205">
        <f t="shared" si="13"/>
        <v>1</v>
      </c>
      <c r="F205" s="15">
        <f t="shared" si="14"/>
        <v>1</v>
      </c>
      <c r="G205" t="str">
        <f t="shared" si="15"/>
        <v>D</v>
      </c>
    </row>
    <row r="206" spans="1:7" x14ac:dyDescent="0.25">
      <c r="A206">
        <v>1015</v>
      </c>
      <c r="B206" t="str">
        <f>VLOOKUP(A206, Sales!$A$2:$E$206, 5, FALSE)</f>
        <v>D</v>
      </c>
      <c r="C206" t="str">
        <f>VLOOKUP(A206, Hits!$A$2:$E$206, 5, FALSE)</f>
        <v>D</v>
      </c>
      <c r="D206">
        <f t="shared" si="12"/>
        <v>1</v>
      </c>
      <c r="E206">
        <f t="shared" si="13"/>
        <v>1</v>
      </c>
      <c r="F206" s="15">
        <f t="shared" si="14"/>
        <v>1</v>
      </c>
      <c r="G206" t="str">
        <f t="shared" si="15"/>
        <v>D</v>
      </c>
    </row>
  </sheetData>
  <mergeCells count="1">
    <mergeCell ref="K14:L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27947-CBFF-430B-808F-469ED0A7E7B7}">
  <dimension ref="A1:H206"/>
  <sheetViews>
    <sheetView workbookViewId="0">
      <selection activeCell="G18" sqref="G18"/>
    </sheetView>
  </sheetViews>
  <sheetFormatPr defaultRowHeight="15" x14ac:dyDescent="0.25"/>
  <cols>
    <col min="1" max="1" width="14.140625" customWidth="1"/>
    <col min="2" max="2" width="43" bestFit="1" customWidth="1"/>
    <col min="3" max="3" width="14.85546875" customWidth="1"/>
    <col min="4" max="4" width="16.42578125" customWidth="1"/>
    <col min="7" max="7" width="13.140625" bestFit="1" customWidth="1"/>
    <col min="8" max="8" width="15.140625" bestFit="1" customWidth="1"/>
  </cols>
  <sheetData>
    <row r="1" spans="1:8" x14ac:dyDescent="0.25">
      <c r="A1" t="s">
        <v>0</v>
      </c>
      <c r="B1" s="22" t="s">
        <v>1</v>
      </c>
      <c r="C1" t="s">
        <v>208</v>
      </c>
      <c r="D1" t="s">
        <v>239</v>
      </c>
      <c r="G1" s="19" t="s">
        <v>253</v>
      </c>
      <c r="H1" t="s">
        <v>255</v>
      </c>
    </row>
    <row r="2" spans="1:8" x14ac:dyDescent="0.25">
      <c r="A2">
        <v>1090</v>
      </c>
      <c r="B2" t="s">
        <v>4</v>
      </c>
      <c r="C2">
        <f>VLOOKUP(A2,[1]Sheet7!$F$4:$I$209,4,FALSE)</f>
        <v>9328940</v>
      </c>
      <c r="D2" t="str">
        <f>VLOOKUP(A2, 'ABC Calc'!$A$2:$G$206, 7, FALSE)</f>
        <v>A</v>
      </c>
      <c r="G2" s="20" t="s">
        <v>212</v>
      </c>
      <c r="H2">
        <v>54788937</v>
      </c>
    </row>
    <row r="3" spans="1:8" x14ac:dyDescent="0.25">
      <c r="A3">
        <v>1180</v>
      </c>
      <c r="B3" t="s">
        <v>6</v>
      </c>
      <c r="C3">
        <f>VLOOKUP(A3,[1]Sheet7!$F$4:$I$209,4,FALSE)</f>
        <v>7202900</v>
      </c>
      <c r="D3" t="str">
        <f>VLOOKUP(A3, 'ABC Calc'!$A$2:$G$206, 7, FALSE)</f>
        <v>A</v>
      </c>
      <c r="G3" s="20" t="s">
        <v>213</v>
      </c>
      <c r="H3">
        <v>10450897</v>
      </c>
    </row>
    <row r="4" spans="1:8" x14ac:dyDescent="0.25">
      <c r="A4">
        <v>1055</v>
      </c>
      <c r="B4" t="s">
        <v>7</v>
      </c>
      <c r="C4">
        <f>VLOOKUP(A4,[1]Sheet7!$F$4:$I$209,4,FALSE)</f>
        <v>7055100</v>
      </c>
      <c r="D4" t="str">
        <f>VLOOKUP(A4, 'ABC Calc'!$A$2:$G$206, 7, FALSE)</f>
        <v>A</v>
      </c>
      <c r="G4" s="20" t="s">
        <v>214</v>
      </c>
      <c r="H4">
        <v>8173036</v>
      </c>
    </row>
    <row r="5" spans="1:8" x14ac:dyDescent="0.25">
      <c r="A5">
        <v>1054</v>
      </c>
      <c r="B5" t="s">
        <v>8</v>
      </c>
      <c r="C5">
        <f>VLOOKUP(A5,[1]Sheet7!$F$4:$I$209,4,FALSE)</f>
        <v>5761300</v>
      </c>
      <c r="D5" t="str">
        <f>VLOOKUP(A5, 'ABC Calc'!$A$2:$G$206, 7, FALSE)</f>
        <v>A</v>
      </c>
      <c r="G5" s="20" t="s">
        <v>215</v>
      </c>
      <c r="H5">
        <v>8633280</v>
      </c>
    </row>
    <row r="6" spans="1:8" x14ac:dyDescent="0.25">
      <c r="A6">
        <v>1092</v>
      </c>
      <c r="B6" t="s">
        <v>9</v>
      </c>
      <c r="C6">
        <f>VLOOKUP(A6,[1]Sheet7!$F$4:$I$209,4,FALSE)</f>
        <v>4084200</v>
      </c>
      <c r="D6" t="str">
        <f>VLOOKUP(A6, 'ABC Calc'!$A$2:$G$206, 7, FALSE)</f>
        <v>A</v>
      </c>
      <c r="G6" s="20" t="s">
        <v>254</v>
      </c>
      <c r="H6">
        <v>82046150</v>
      </c>
    </row>
    <row r="7" spans="1:8" x14ac:dyDescent="0.25">
      <c r="A7">
        <v>1043</v>
      </c>
      <c r="B7" t="s">
        <v>10</v>
      </c>
      <c r="C7">
        <f>VLOOKUP(A7,[1]Sheet7!$F$4:$I$209,4,FALSE)</f>
        <v>3572000</v>
      </c>
      <c r="D7" t="str">
        <f>VLOOKUP(A7, 'ABC Calc'!$A$2:$G$206, 7, FALSE)</f>
        <v>A</v>
      </c>
    </row>
    <row r="8" spans="1:8" x14ac:dyDescent="0.25">
      <c r="A8">
        <v>1035</v>
      </c>
      <c r="B8" t="s">
        <v>11</v>
      </c>
      <c r="C8">
        <f>VLOOKUP(A8,[1]Sheet7!$F$4:$I$209,4,FALSE)</f>
        <v>2284800</v>
      </c>
      <c r="D8" t="str">
        <f>VLOOKUP(A8, 'ABC Calc'!$A$2:$G$206, 7, FALSE)</f>
        <v>A</v>
      </c>
    </row>
    <row r="9" spans="1:8" x14ac:dyDescent="0.25">
      <c r="A9">
        <v>1155</v>
      </c>
      <c r="B9" t="s">
        <v>12</v>
      </c>
      <c r="C9">
        <f>VLOOKUP(A9,[1]Sheet7!$F$4:$I$209,4,FALSE)</f>
        <v>1938300</v>
      </c>
      <c r="D9" t="str">
        <f>VLOOKUP(A9, 'ABC Calc'!$A$2:$G$206, 7, FALSE)</f>
        <v>A</v>
      </c>
    </row>
    <row r="10" spans="1:8" x14ac:dyDescent="0.25">
      <c r="A10">
        <v>1198</v>
      </c>
      <c r="B10" t="s">
        <v>13</v>
      </c>
      <c r="C10">
        <f>VLOOKUP(A10,[1]Sheet7!$F$4:$I$209,4,FALSE)</f>
        <v>1804600</v>
      </c>
      <c r="D10" t="str">
        <f>VLOOKUP(A10, 'ABC Calc'!$A$2:$G$206, 7, FALSE)</f>
        <v>A</v>
      </c>
    </row>
    <row r="11" spans="1:8" x14ac:dyDescent="0.25">
      <c r="A11">
        <v>1178</v>
      </c>
      <c r="B11" t="s">
        <v>14</v>
      </c>
      <c r="C11">
        <f>VLOOKUP(A11,[1]Sheet7!$F$4:$I$209,4,FALSE)</f>
        <v>1716660</v>
      </c>
      <c r="D11" t="str">
        <f>VLOOKUP(A11, 'ABC Calc'!$A$2:$G$206, 7, FALSE)</f>
        <v>A</v>
      </c>
    </row>
    <row r="12" spans="1:8" x14ac:dyDescent="0.25">
      <c r="A12">
        <v>1193</v>
      </c>
      <c r="B12" t="s">
        <v>15</v>
      </c>
      <c r="C12">
        <f>VLOOKUP(A12,[1]Sheet7!$F$4:$I$209,4,FALSE)</f>
        <v>1707200</v>
      </c>
      <c r="D12" t="str">
        <f>VLOOKUP(A12, 'ABC Calc'!$A$2:$G$206, 7, FALSE)</f>
        <v>A</v>
      </c>
    </row>
    <row r="13" spans="1:8" x14ac:dyDescent="0.25">
      <c r="A13">
        <v>1170</v>
      </c>
      <c r="B13" t="s">
        <v>16</v>
      </c>
      <c r="C13">
        <f>VLOOKUP(A13,[1]Sheet7!$F$4:$I$209,4,FALSE)</f>
        <v>1489744</v>
      </c>
      <c r="D13" t="str">
        <f>VLOOKUP(A13, 'ABC Calc'!$A$2:$G$206, 7, FALSE)</f>
        <v>A</v>
      </c>
    </row>
    <row r="14" spans="1:8" x14ac:dyDescent="0.25">
      <c r="A14">
        <v>1196</v>
      </c>
      <c r="B14" t="s">
        <v>17</v>
      </c>
      <c r="C14">
        <f>VLOOKUP(A14,[1]Sheet7!$F$4:$I$209,4,FALSE)</f>
        <v>1302104</v>
      </c>
      <c r="D14" t="str">
        <f>VLOOKUP(A14, 'ABC Calc'!$A$2:$G$206, 7, FALSE)</f>
        <v>A</v>
      </c>
    </row>
    <row r="15" spans="1:8" x14ac:dyDescent="0.25">
      <c r="A15">
        <v>1205</v>
      </c>
      <c r="B15" t="s">
        <v>18</v>
      </c>
      <c r="C15">
        <f>VLOOKUP(A15,[1]Sheet7!$F$4:$I$209,4,FALSE)</f>
        <v>1161050</v>
      </c>
      <c r="D15" t="str">
        <f>VLOOKUP(A15, 'ABC Calc'!$A$2:$G$206, 7, FALSE)</f>
        <v>A</v>
      </c>
    </row>
    <row r="16" spans="1:8" x14ac:dyDescent="0.25">
      <c r="A16">
        <v>1215</v>
      </c>
      <c r="B16" t="s">
        <v>19</v>
      </c>
      <c r="C16">
        <f>VLOOKUP(A16,[1]Sheet7!$F$4:$I$209,4,FALSE)</f>
        <v>1067200</v>
      </c>
      <c r="D16" t="str">
        <f>VLOOKUP(A16, 'ABC Calc'!$A$2:$G$206, 7, FALSE)</f>
        <v>B</v>
      </c>
    </row>
    <row r="17" spans="1:4" x14ac:dyDescent="0.25">
      <c r="A17">
        <v>1214</v>
      </c>
      <c r="B17" t="s">
        <v>20</v>
      </c>
      <c r="C17">
        <f>VLOOKUP(A17,[1]Sheet7!$F$4:$I$209,4,FALSE)</f>
        <v>1057500</v>
      </c>
      <c r="D17" t="str">
        <f>VLOOKUP(A17, 'ABC Calc'!$A$2:$G$206, 7, FALSE)</f>
        <v>B</v>
      </c>
    </row>
    <row r="18" spans="1:4" x14ac:dyDescent="0.25">
      <c r="A18">
        <v>1168</v>
      </c>
      <c r="B18" t="s">
        <v>21</v>
      </c>
      <c r="C18">
        <f>VLOOKUP(A18,[1]Sheet7!$F$4:$I$209,4,FALSE)</f>
        <v>974100</v>
      </c>
      <c r="D18" t="str">
        <f>VLOOKUP(A18, 'ABC Calc'!$A$2:$G$206, 7, FALSE)</f>
        <v>A</v>
      </c>
    </row>
    <row r="19" spans="1:4" x14ac:dyDescent="0.25">
      <c r="A19">
        <v>1213</v>
      </c>
      <c r="B19" t="s">
        <v>22</v>
      </c>
      <c r="C19">
        <f>VLOOKUP(A19,[1]Sheet7!$F$4:$I$209,4,FALSE)</f>
        <v>896000</v>
      </c>
      <c r="D19" t="str">
        <f>VLOOKUP(A19, 'ABC Calc'!$A$2:$G$206, 7, FALSE)</f>
        <v>B</v>
      </c>
    </row>
    <row r="20" spans="1:4" x14ac:dyDescent="0.25">
      <c r="A20">
        <v>1192</v>
      </c>
      <c r="B20" t="s">
        <v>23</v>
      </c>
      <c r="C20">
        <f>VLOOKUP(A20,[1]Sheet7!$F$4:$I$209,4,FALSE)</f>
        <v>873988</v>
      </c>
      <c r="D20" t="str">
        <f>VLOOKUP(A20, 'ABC Calc'!$A$2:$G$206, 7, FALSE)</f>
        <v>B</v>
      </c>
    </row>
    <row r="21" spans="1:4" x14ac:dyDescent="0.25">
      <c r="A21">
        <v>1161</v>
      </c>
      <c r="B21" t="s">
        <v>24</v>
      </c>
      <c r="C21">
        <f>VLOOKUP(A21,[1]Sheet7!$F$4:$I$209,4,FALSE)</f>
        <v>541404</v>
      </c>
      <c r="D21" t="str">
        <f>VLOOKUP(A21, 'ABC Calc'!$A$2:$G$206, 7, FALSE)</f>
        <v>B</v>
      </c>
    </row>
    <row r="22" spans="1:4" x14ac:dyDescent="0.25">
      <c r="A22">
        <v>1167</v>
      </c>
      <c r="B22" t="s">
        <v>25</v>
      </c>
      <c r="C22">
        <f>VLOOKUP(A22,[1]Sheet7!$F$4:$I$209,4,FALSE)</f>
        <v>538920</v>
      </c>
      <c r="D22" t="str">
        <f>VLOOKUP(A22, 'ABC Calc'!$A$2:$G$206, 7, FALSE)</f>
        <v>A</v>
      </c>
    </row>
    <row r="23" spans="1:4" x14ac:dyDescent="0.25">
      <c r="A23">
        <v>1207</v>
      </c>
      <c r="B23" t="s">
        <v>26</v>
      </c>
      <c r="C23">
        <f>VLOOKUP(A23,[1]Sheet7!$F$4:$I$209,4,FALSE)</f>
        <v>534391</v>
      </c>
      <c r="D23" t="str">
        <f>VLOOKUP(A23, 'ABC Calc'!$A$2:$G$206, 7, FALSE)</f>
        <v>B</v>
      </c>
    </row>
    <row r="24" spans="1:4" x14ac:dyDescent="0.25">
      <c r="A24">
        <v>1194</v>
      </c>
      <c r="B24" t="s">
        <v>27</v>
      </c>
      <c r="C24">
        <f>VLOOKUP(A24,[1]Sheet7!$F$4:$I$209,4,FALSE)</f>
        <v>526904</v>
      </c>
      <c r="D24" t="str">
        <f>VLOOKUP(A24, 'ABC Calc'!$A$2:$G$206, 7, FALSE)</f>
        <v>B</v>
      </c>
    </row>
    <row r="25" spans="1:4" x14ac:dyDescent="0.25">
      <c r="A25">
        <v>1179</v>
      </c>
      <c r="B25" t="s">
        <v>28</v>
      </c>
      <c r="C25">
        <f>VLOOKUP(A25,[1]Sheet7!$F$4:$I$209,4,FALSE)</f>
        <v>519498</v>
      </c>
      <c r="D25" t="str">
        <f>VLOOKUP(A25, 'ABC Calc'!$A$2:$G$206, 7, FALSE)</f>
        <v>A</v>
      </c>
    </row>
    <row r="26" spans="1:4" x14ac:dyDescent="0.25">
      <c r="A26">
        <v>1206</v>
      </c>
      <c r="B26" t="s">
        <v>29</v>
      </c>
      <c r="C26">
        <f>VLOOKUP(A26,[1]Sheet7!$F$4:$I$209,4,FALSE)</f>
        <v>509922</v>
      </c>
      <c r="D26" t="str">
        <f>VLOOKUP(A26, 'ABC Calc'!$A$2:$G$206, 7, FALSE)</f>
        <v>B</v>
      </c>
    </row>
    <row r="27" spans="1:4" x14ac:dyDescent="0.25">
      <c r="A27">
        <v>1166</v>
      </c>
      <c r="B27" t="s">
        <v>30</v>
      </c>
      <c r="C27">
        <f>VLOOKUP(A27,[1]Sheet7!$F$4:$I$209,4,FALSE)</f>
        <v>499320</v>
      </c>
      <c r="D27" t="str">
        <f>VLOOKUP(A27, 'ABC Calc'!$A$2:$G$206, 7, FALSE)</f>
        <v>B</v>
      </c>
    </row>
    <row r="28" spans="1:4" x14ac:dyDescent="0.25">
      <c r="A28">
        <v>1211</v>
      </c>
      <c r="B28" t="s">
        <v>31</v>
      </c>
      <c r="C28">
        <f>VLOOKUP(A28,[1]Sheet7!$F$4:$I$209,4,FALSE)</f>
        <v>497028</v>
      </c>
      <c r="D28" t="str">
        <f>VLOOKUP(A28, 'ABC Calc'!$A$2:$G$206, 7, FALSE)</f>
        <v>B</v>
      </c>
    </row>
    <row r="29" spans="1:4" x14ac:dyDescent="0.25">
      <c r="A29">
        <v>1171</v>
      </c>
      <c r="B29" t="s">
        <v>32</v>
      </c>
      <c r="C29">
        <f>VLOOKUP(A29,[1]Sheet7!$F$4:$I$209,4,FALSE)</f>
        <v>493924</v>
      </c>
      <c r="D29" t="str">
        <f>VLOOKUP(A29, 'ABC Calc'!$A$2:$G$206, 7, FALSE)</f>
        <v>A</v>
      </c>
    </row>
    <row r="30" spans="1:4" x14ac:dyDescent="0.25">
      <c r="A30">
        <v>1210</v>
      </c>
      <c r="B30" t="s">
        <v>33</v>
      </c>
      <c r="C30">
        <f>VLOOKUP(A30,[1]Sheet7!$F$4:$I$209,4,FALSE)</f>
        <v>488870</v>
      </c>
      <c r="D30" t="str">
        <f>VLOOKUP(A30, 'ABC Calc'!$A$2:$G$206, 7, FALSE)</f>
        <v>B</v>
      </c>
    </row>
    <row r="31" spans="1:4" x14ac:dyDescent="0.25">
      <c r="A31">
        <v>1201</v>
      </c>
      <c r="B31" t="s">
        <v>34</v>
      </c>
      <c r="C31">
        <f>VLOOKUP(A31,[1]Sheet7!$F$4:$I$209,4,FALSE)</f>
        <v>486772</v>
      </c>
      <c r="D31" t="str">
        <f>VLOOKUP(A31, 'ABC Calc'!$A$2:$G$206, 7, FALSE)</f>
        <v>A</v>
      </c>
    </row>
    <row r="32" spans="1:4" x14ac:dyDescent="0.25">
      <c r="A32">
        <v>1036</v>
      </c>
      <c r="B32" t="s">
        <v>35</v>
      </c>
      <c r="C32">
        <f>VLOOKUP(A32,[1]Sheet7!$F$4:$I$209,4,FALSE)</f>
        <v>482160</v>
      </c>
      <c r="D32" t="str">
        <f>VLOOKUP(A32, 'ABC Calc'!$A$2:$G$206, 7, FALSE)</f>
        <v>B</v>
      </c>
    </row>
    <row r="33" spans="1:4" x14ac:dyDescent="0.25">
      <c r="A33">
        <v>1165</v>
      </c>
      <c r="B33" t="s">
        <v>36</v>
      </c>
      <c r="C33">
        <f>VLOOKUP(A33,[1]Sheet7!$F$4:$I$209,4,FALSE)</f>
        <v>478315</v>
      </c>
      <c r="D33" t="str">
        <f>VLOOKUP(A33, 'ABC Calc'!$A$2:$G$206, 7, FALSE)</f>
        <v>A</v>
      </c>
    </row>
    <row r="34" spans="1:4" x14ac:dyDescent="0.25">
      <c r="A34">
        <v>1199</v>
      </c>
      <c r="B34" t="s">
        <v>37</v>
      </c>
      <c r="C34">
        <f>VLOOKUP(A34,[1]Sheet7!$F$4:$I$209,4,FALSE)</f>
        <v>453944</v>
      </c>
      <c r="D34" t="str">
        <f>VLOOKUP(A34, 'ABC Calc'!$A$2:$G$206, 7, FALSE)</f>
        <v>B</v>
      </c>
    </row>
    <row r="35" spans="1:4" x14ac:dyDescent="0.25">
      <c r="A35">
        <v>1091</v>
      </c>
      <c r="B35" t="s">
        <v>38</v>
      </c>
      <c r="C35">
        <f>VLOOKUP(A35,[1]Sheet7!$F$4:$I$209,4,FALSE)</f>
        <v>453600</v>
      </c>
      <c r="D35" t="str">
        <f>VLOOKUP(A35, 'ABC Calc'!$A$2:$G$206, 7, FALSE)</f>
        <v>A</v>
      </c>
    </row>
    <row r="36" spans="1:4" x14ac:dyDescent="0.25">
      <c r="A36">
        <v>1162</v>
      </c>
      <c r="B36" t="s">
        <v>39</v>
      </c>
      <c r="C36">
        <f>VLOOKUP(A36,[1]Sheet7!$F$4:$I$209,4,FALSE)</f>
        <v>435825</v>
      </c>
      <c r="D36" t="str">
        <f>VLOOKUP(A36, 'ABC Calc'!$A$2:$G$206, 7, FALSE)</f>
        <v>B</v>
      </c>
    </row>
    <row r="37" spans="1:4" x14ac:dyDescent="0.25">
      <c r="A37">
        <v>1176</v>
      </c>
      <c r="B37" t="s">
        <v>40</v>
      </c>
      <c r="C37">
        <f>VLOOKUP(A37,[1]Sheet7!$F$4:$I$209,4,FALSE)</f>
        <v>434910</v>
      </c>
      <c r="D37" t="str">
        <f>VLOOKUP(A37, 'ABC Calc'!$A$2:$G$206, 7, FALSE)</f>
        <v>A</v>
      </c>
    </row>
    <row r="38" spans="1:4" x14ac:dyDescent="0.25">
      <c r="A38">
        <v>1177</v>
      </c>
      <c r="B38" t="s">
        <v>41</v>
      </c>
      <c r="C38">
        <f>VLOOKUP(A38,[1]Sheet7!$F$4:$I$209,4,FALSE)</f>
        <v>433770</v>
      </c>
      <c r="D38" t="str">
        <f>VLOOKUP(A38, 'ABC Calc'!$A$2:$G$206, 7, FALSE)</f>
        <v>B</v>
      </c>
    </row>
    <row r="39" spans="1:4" x14ac:dyDescent="0.25">
      <c r="A39">
        <v>1037</v>
      </c>
      <c r="B39" t="s">
        <v>42</v>
      </c>
      <c r="C39">
        <f>VLOOKUP(A39,[1]Sheet7!$F$4:$I$209,4,FALSE)</f>
        <v>432960</v>
      </c>
      <c r="D39" t="str">
        <f>VLOOKUP(A39, 'ABC Calc'!$A$2:$G$206, 7, FALSE)</f>
        <v>C</v>
      </c>
    </row>
    <row r="40" spans="1:4" x14ac:dyDescent="0.25">
      <c r="A40">
        <v>1163</v>
      </c>
      <c r="B40" t="s">
        <v>39</v>
      </c>
      <c r="C40">
        <f>VLOOKUP(A40,[1]Sheet7!$F$4:$I$209,4,FALSE)</f>
        <v>429186</v>
      </c>
      <c r="D40" t="str">
        <f>VLOOKUP(A40, 'ABC Calc'!$A$2:$G$206, 7, FALSE)</f>
        <v>B</v>
      </c>
    </row>
    <row r="41" spans="1:4" x14ac:dyDescent="0.25">
      <c r="A41">
        <v>1202</v>
      </c>
      <c r="B41" t="s">
        <v>34</v>
      </c>
      <c r="C41">
        <f>VLOOKUP(A41,[1]Sheet7!$F$4:$I$209,4,FALSE)</f>
        <v>418400</v>
      </c>
      <c r="D41" t="str">
        <f>VLOOKUP(A41, 'ABC Calc'!$A$2:$G$206, 7, FALSE)</f>
        <v>B</v>
      </c>
    </row>
    <row r="42" spans="1:4" x14ac:dyDescent="0.25">
      <c r="A42">
        <v>1070</v>
      </c>
      <c r="B42" t="s">
        <v>43</v>
      </c>
      <c r="C42">
        <f>VLOOKUP(A42,[1]Sheet7!$F$4:$I$209,4,FALSE)</f>
        <v>400200</v>
      </c>
      <c r="D42" t="str">
        <f>VLOOKUP(A42, 'ABC Calc'!$A$2:$G$206, 7, FALSE)</f>
        <v>D</v>
      </c>
    </row>
    <row r="43" spans="1:4" x14ac:dyDescent="0.25">
      <c r="A43">
        <v>1209</v>
      </c>
      <c r="B43" t="s">
        <v>44</v>
      </c>
      <c r="C43">
        <f>VLOOKUP(A43,[1]Sheet7!$F$4:$I$209,4,FALSE)</f>
        <v>398620</v>
      </c>
      <c r="D43" t="str">
        <f>VLOOKUP(A43, 'ABC Calc'!$A$2:$G$206, 7, FALSE)</f>
        <v>C</v>
      </c>
    </row>
    <row r="44" spans="1:4" x14ac:dyDescent="0.25">
      <c r="A44">
        <v>1183</v>
      </c>
      <c r="B44" t="s">
        <v>45</v>
      </c>
      <c r="C44">
        <f>VLOOKUP(A44,[1]Sheet7!$F$4:$I$209,4,FALSE)</f>
        <v>397224</v>
      </c>
      <c r="D44" t="str">
        <f>VLOOKUP(A44, 'ABC Calc'!$A$2:$G$206, 7, FALSE)</f>
        <v>C</v>
      </c>
    </row>
    <row r="45" spans="1:4" x14ac:dyDescent="0.25">
      <c r="A45">
        <v>1172</v>
      </c>
      <c r="B45" t="s">
        <v>46</v>
      </c>
      <c r="C45">
        <f>VLOOKUP(A45,[1]Sheet7!$F$4:$I$209,4,FALSE)</f>
        <v>397182</v>
      </c>
      <c r="D45" t="str">
        <f>VLOOKUP(A45, 'ABC Calc'!$A$2:$G$206, 7, FALSE)</f>
        <v>C</v>
      </c>
    </row>
    <row r="46" spans="1:4" x14ac:dyDescent="0.25">
      <c r="A46">
        <v>1204</v>
      </c>
      <c r="B46" t="s">
        <v>47</v>
      </c>
      <c r="C46">
        <f>VLOOKUP(A46,[1]Sheet7!$F$4:$I$209,4,FALSE)</f>
        <v>391300</v>
      </c>
      <c r="D46" t="str">
        <f>VLOOKUP(A46, 'ABC Calc'!$A$2:$G$206, 7, FALSE)</f>
        <v>C</v>
      </c>
    </row>
    <row r="47" spans="1:4" x14ac:dyDescent="0.25">
      <c r="A47">
        <v>1203</v>
      </c>
      <c r="B47" t="s">
        <v>48</v>
      </c>
      <c r="C47">
        <f>VLOOKUP(A47,[1]Sheet7!$F$4:$I$209,4,FALSE)</f>
        <v>390494</v>
      </c>
      <c r="D47" t="str">
        <f>VLOOKUP(A47, 'ABC Calc'!$A$2:$G$206, 7, FALSE)</f>
        <v>C</v>
      </c>
    </row>
    <row r="48" spans="1:4" x14ac:dyDescent="0.25">
      <c r="A48">
        <v>1200</v>
      </c>
      <c r="B48" t="s">
        <v>49</v>
      </c>
      <c r="C48">
        <f>VLOOKUP(A48,[1]Sheet7!$F$4:$I$209,4,FALSE)</f>
        <v>389515</v>
      </c>
      <c r="D48" t="str">
        <f>VLOOKUP(A48, 'ABC Calc'!$A$2:$G$206, 7, FALSE)</f>
        <v>C</v>
      </c>
    </row>
    <row r="49" spans="1:4" x14ac:dyDescent="0.25">
      <c r="A49">
        <v>1169</v>
      </c>
      <c r="B49" t="s">
        <v>50</v>
      </c>
      <c r="C49">
        <f>VLOOKUP(A49,[1]Sheet7!$F$4:$I$209,4,FALSE)</f>
        <v>385671</v>
      </c>
      <c r="D49" t="str">
        <f>VLOOKUP(A49, 'ABC Calc'!$A$2:$G$206, 7, FALSE)</f>
        <v>C</v>
      </c>
    </row>
    <row r="50" spans="1:4" x14ac:dyDescent="0.25">
      <c r="A50">
        <v>1182</v>
      </c>
      <c r="B50" t="s">
        <v>51</v>
      </c>
      <c r="C50">
        <f>VLOOKUP(A50,[1]Sheet7!$F$4:$I$209,4,FALSE)</f>
        <v>385592</v>
      </c>
      <c r="D50" t="str">
        <f>VLOOKUP(A50, 'ABC Calc'!$A$2:$G$206, 7, FALSE)</f>
        <v>C</v>
      </c>
    </row>
    <row r="51" spans="1:4" x14ac:dyDescent="0.25">
      <c r="A51">
        <v>1187</v>
      </c>
      <c r="B51" t="s">
        <v>52</v>
      </c>
      <c r="C51">
        <f>VLOOKUP(A51,[1]Sheet7!$F$4:$I$209,4,FALSE)</f>
        <v>373932</v>
      </c>
      <c r="D51" t="str">
        <f>VLOOKUP(A51, 'ABC Calc'!$A$2:$G$206, 7, FALSE)</f>
        <v>C</v>
      </c>
    </row>
    <row r="52" spans="1:4" x14ac:dyDescent="0.25">
      <c r="A52">
        <v>1186</v>
      </c>
      <c r="B52" t="s">
        <v>53</v>
      </c>
      <c r="C52">
        <f>VLOOKUP(A52,[1]Sheet7!$F$4:$I$209,4,FALSE)</f>
        <v>366485</v>
      </c>
      <c r="D52" t="str">
        <f>VLOOKUP(A52, 'ABC Calc'!$A$2:$G$206, 7, FALSE)</f>
        <v>C</v>
      </c>
    </row>
    <row r="53" spans="1:4" x14ac:dyDescent="0.25">
      <c r="A53">
        <v>1160</v>
      </c>
      <c r="B53" t="s">
        <v>54</v>
      </c>
      <c r="C53">
        <f>VLOOKUP(A53,[1]Sheet7!$F$4:$I$209,4,FALSE)</f>
        <v>361449</v>
      </c>
      <c r="D53" t="str">
        <f>VLOOKUP(A53, 'ABC Calc'!$A$2:$G$206, 7, FALSE)</f>
        <v>C</v>
      </c>
    </row>
    <row r="54" spans="1:4" x14ac:dyDescent="0.25">
      <c r="A54">
        <v>1197</v>
      </c>
      <c r="B54" t="s">
        <v>55</v>
      </c>
      <c r="C54">
        <f>VLOOKUP(A54,[1]Sheet7!$F$4:$I$209,4,FALSE)</f>
        <v>361242</v>
      </c>
      <c r="D54" t="str">
        <f>VLOOKUP(A54, 'ABC Calc'!$A$2:$G$206, 7, FALSE)</f>
        <v>C</v>
      </c>
    </row>
    <row r="55" spans="1:4" x14ac:dyDescent="0.25">
      <c r="A55">
        <v>1174</v>
      </c>
      <c r="B55" t="s">
        <v>56</v>
      </c>
      <c r="C55">
        <f>VLOOKUP(A55,[1]Sheet7!$F$4:$I$209,4,FALSE)</f>
        <v>359996</v>
      </c>
      <c r="D55" t="str">
        <f>VLOOKUP(A55, 'ABC Calc'!$A$2:$G$206, 7, FALSE)</f>
        <v>C</v>
      </c>
    </row>
    <row r="56" spans="1:4" x14ac:dyDescent="0.25">
      <c r="A56">
        <v>1040</v>
      </c>
      <c r="B56" t="s">
        <v>57</v>
      </c>
      <c r="C56">
        <f>VLOOKUP(A56,[1]Sheet7!$F$4:$I$209,4,FALSE)</f>
        <v>359090</v>
      </c>
      <c r="D56" t="str">
        <f>VLOOKUP(A56, 'ABC Calc'!$A$2:$G$206, 7, FALSE)</f>
        <v>C</v>
      </c>
    </row>
    <row r="57" spans="1:4" x14ac:dyDescent="0.25">
      <c r="A57">
        <v>1173</v>
      </c>
      <c r="B57" t="s">
        <v>58</v>
      </c>
      <c r="C57">
        <f>VLOOKUP(A57,[1]Sheet7!$F$4:$I$209,4,FALSE)</f>
        <v>355945</v>
      </c>
      <c r="D57" t="str">
        <f>VLOOKUP(A57, 'ABC Calc'!$A$2:$G$206, 7, FALSE)</f>
        <v>C</v>
      </c>
    </row>
    <row r="58" spans="1:4" x14ac:dyDescent="0.25">
      <c r="A58">
        <v>1212</v>
      </c>
      <c r="B58" t="s">
        <v>59</v>
      </c>
      <c r="C58">
        <f>VLOOKUP(A58,[1]Sheet7!$F$4:$I$209,4,FALSE)</f>
        <v>343962</v>
      </c>
      <c r="D58" t="str">
        <f>VLOOKUP(A58, 'ABC Calc'!$A$2:$G$206, 7, FALSE)</f>
        <v>C</v>
      </c>
    </row>
    <row r="59" spans="1:4" x14ac:dyDescent="0.25">
      <c r="A59">
        <v>1181</v>
      </c>
      <c r="B59" t="s">
        <v>60</v>
      </c>
      <c r="C59">
        <f>VLOOKUP(A59,[1]Sheet7!$F$4:$I$209,4,FALSE)</f>
        <v>332866</v>
      </c>
      <c r="D59" t="str">
        <f>VLOOKUP(A59, 'ABC Calc'!$A$2:$G$206, 7, FALSE)</f>
        <v>C</v>
      </c>
    </row>
    <row r="60" spans="1:4" x14ac:dyDescent="0.25">
      <c r="A60">
        <v>1191</v>
      </c>
      <c r="B60" t="s">
        <v>61</v>
      </c>
      <c r="C60">
        <f>VLOOKUP(A60,[1]Sheet7!$F$4:$I$209,4,FALSE)</f>
        <v>324880</v>
      </c>
      <c r="D60" t="str">
        <f>VLOOKUP(A60, 'ABC Calc'!$A$2:$G$206, 7, FALSE)</f>
        <v>C</v>
      </c>
    </row>
    <row r="61" spans="1:4" x14ac:dyDescent="0.25">
      <c r="A61">
        <v>1185</v>
      </c>
      <c r="B61" t="s">
        <v>62</v>
      </c>
      <c r="C61">
        <f>VLOOKUP(A61,[1]Sheet7!$F$4:$I$209,4,FALSE)</f>
        <v>322536</v>
      </c>
      <c r="D61" t="str">
        <f>VLOOKUP(A61, 'ABC Calc'!$A$2:$G$206, 7, FALSE)</f>
        <v>C</v>
      </c>
    </row>
    <row r="62" spans="1:4" x14ac:dyDescent="0.25">
      <c r="A62">
        <v>1189</v>
      </c>
      <c r="B62" t="s">
        <v>63</v>
      </c>
      <c r="C62">
        <f>VLOOKUP(A62,[1]Sheet7!$F$4:$I$209,4,FALSE)</f>
        <v>312120</v>
      </c>
      <c r="D62" t="str">
        <f>VLOOKUP(A62, 'ABC Calc'!$A$2:$G$206, 7, FALSE)</f>
        <v>C</v>
      </c>
    </row>
    <row r="63" spans="1:4" x14ac:dyDescent="0.25">
      <c r="A63">
        <v>1195</v>
      </c>
      <c r="B63" t="s">
        <v>64</v>
      </c>
      <c r="C63">
        <f>VLOOKUP(A63,[1]Sheet7!$F$4:$I$209,4,FALSE)</f>
        <v>307710</v>
      </c>
      <c r="D63" t="str">
        <f>VLOOKUP(A63, 'ABC Calc'!$A$2:$G$206, 7, FALSE)</f>
        <v>C</v>
      </c>
    </row>
    <row r="64" spans="1:4" x14ac:dyDescent="0.25">
      <c r="A64">
        <v>1159</v>
      </c>
      <c r="B64" t="s">
        <v>65</v>
      </c>
      <c r="C64">
        <f>VLOOKUP(A64,[1]Sheet7!$F$4:$I$209,4,FALSE)</f>
        <v>305085</v>
      </c>
      <c r="D64" t="str">
        <f>VLOOKUP(A64, 'ABC Calc'!$A$2:$G$206, 7, FALSE)</f>
        <v>B</v>
      </c>
    </row>
    <row r="65" spans="1:4" x14ac:dyDescent="0.25">
      <c r="A65">
        <v>1150</v>
      </c>
      <c r="B65" t="s">
        <v>66</v>
      </c>
      <c r="C65">
        <f>VLOOKUP(A65,[1]Sheet7!$F$4:$I$209,4,FALSE)</f>
        <v>303303</v>
      </c>
      <c r="D65" t="str">
        <f>VLOOKUP(A65, 'ABC Calc'!$A$2:$G$206, 7, FALSE)</f>
        <v>D</v>
      </c>
    </row>
    <row r="66" spans="1:4" x14ac:dyDescent="0.25">
      <c r="A66">
        <v>1175</v>
      </c>
      <c r="B66" t="s">
        <v>67</v>
      </c>
      <c r="C66">
        <f>VLOOKUP(A66,[1]Sheet7!$F$4:$I$209,4,FALSE)</f>
        <v>297000</v>
      </c>
      <c r="D66" t="str">
        <f>VLOOKUP(A66, 'ABC Calc'!$A$2:$G$206, 7, FALSE)</f>
        <v>D</v>
      </c>
    </row>
    <row r="67" spans="1:4" x14ac:dyDescent="0.25">
      <c r="A67">
        <v>1151</v>
      </c>
      <c r="B67" t="s">
        <v>68</v>
      </c>
      <c r="C67">
        <f>VLOOKUP(A67,[1]Sheet7!$F$4:$I$209,4,FALSE)</f>
        <v>290200</v>
      </c>
      <c r="D67" t="str">
        <f>VLOOKUP(A67, 'ABC Calc'!$A$2:$G$206, 7, FALSE)</f>
        <v>D</v>
      </c>
    </row>
    <row r="68" spans="1:4" x14ac:dyDescent="0.25">
      <c r="A68">
        <v>1152</v>
      </c>
      <c r="B68" t="s">
        <v>69</v>
      </c>
      <c r="C68">
        <f>VLOOKUP(A68,[1]Sheet7!$F$4:$I$209,4,FALSE)</f>
        <v>284481</v>
      </c>
      <c r="D68" t="str">
        <f>VLOOKUP(A68, 'ABC Calc'!$A$2:$G$206, 7, FALSE)</f>
        <v>D</v>
      </c>
    </row>
    <row r="69" spans="1:4" x14ac:dyDescent="0.25">
      <c r="A69">
        <v>1156</v>
      </c>
      <c r="B69" t="s">
        <v>70</v>
      </c>
      <c r="C69">
        <f>VLOOKUP(A69,[1]Sheet7!$F$4:$I$209,4,FALSE)</f>
        <v>277506</v>
      </c>
      <c r="D69" t="str">
        <f>VLOOKUP(A69, 'ABC Calc'!$A$2:$G$206, 7, FALSE)</f>
        <v>D</v>
      </c>
    </row>
    <row r="70" spans="1:4" x14ac:dyDescent="0.25">
      <c r="A70">
        <v>1184</v>
      </c>
      <c r="B70" t="s">
        <v>71</v>
      </c>
      <c r="C70">
        <f>VLOOKUP(A70,[1]Sheet7!$F$4:$I$209,4,FALSE)</f>
        <v>273600</v>
      </c>
      <c r="D70" t="str">
        <f>VLOOKUP(A70, 'ABC Calc'!$A$2:$G$206, 7, FALSE)</f>
        <v>D</v>
      </c>
    </row>
    <row r="71" spans="1:4" x14ac:dyDescent="0.25">
      <c r="A71">
        <v>1208</v>
      </c>
      <c r="B71" t="s">
        <v>72</v>
      </c>
      <c r="C71">
        <f>VLOOKUP(A71,[1]Sheet7!$F$4:$I$209,4,FALSE)</f>
        <v>251685</v>
      </c>
      <c r="D71" t="str">
        <f>VLOOKUP(A71, 'ABC Calc'!$A$2:$G$206, 7, FALSE)</f>
        <v>D</v>
      </c>
    </row>
    <row r="72" spans="1:4" x14ac:dyDescent="0.25">
      <c r="A72">
        <v>1154</v>
      </c>
      <c r="B72" t="s">
        <v>73</v>
      </c>
      <c r="C72">
        <f>VLOOKUP(A72,[1]Sheet7!$F$4:$I$209,4,FALSE)</f>
        <v>247086</v>
      </c>
      <c r="D72" t="str">
        <f>VLOOKUP(A72, 'ABC Calc'!$A$2:$G$206, 7, FALSE)</f>
        <v>D</v>
      </c>
    </row>
    <row r="73" spans="1:4" x14ac:dyDescent="0.25">
      <c r="A73">
        <v>1157</v>
      </c>
      <c r="B73" t="s">
        <v>74</v>
      </c>
      <c r="C73">
        <f>VLOOKUP(A73,[1]Sheet7!$F$4:$I$209,4,FALSE)</f>
        <v>242202</v>
      </c>
      <c r="D73" t="str">
        <f>VLOOKUP(A73, 'ABC Calc'!$A$2:$G$206, 7, FALSE)</f>
        <v>D</v>
      </c>
    </row>
    <row r="74" spans="1:4" x14ac:dyDescent="0.25">
      <c r="A74">
        <v>1021</v>
      </c>
      <c r="B74" t="s">
        <v>75</v>
      </c>
      <c r="C74">
        <f>VLOOKUP(A74,[1]Sheet7!$F$4:$I$209,4,FALSE)</f>
        <v>232300</v>
      </c>
      <c r="D74" t="str">
        <f>VLOOKUP(A74, 'ABC Calc'!$A$2:$G$206, 7, FALSE)</f>
        <v>D</v>
      </c>
    </row>
    <row r="75" spans="1:4" x14ac:dyDescent="0.25">
      <c r="A75">
        <v>1188</v>
      </c>
      <c r="B75" t="s">
        <v>76</v>
      </c>
      <c r="C75">
        <f>VLOOKUP(A75,[1]Sheet7!$F$4:$I$209,4,FALSE)</f>
        <v>232290</v>
      </c>
      <c r="D75" t="str">
        <f>VLOOKUP(A75, 'ABC Calc'!$A$2:$G$206, 7, FALSE)</f>
        <v>D</v>
      </c>
    </row>
    <row r="76" spans="1:4" x14ac:dyDescent="0.25">
      <c r="A76">
        <v>1164</v>
      </c>
      <c r="B76" t="s">
        <v>77</v>
      </c>
      <c r="C76">
        <f>VLOOKUP(A76,[1]Sheet7!$F$4:$I$209,4,FALSE)</f>
        <v>230621</v>
      </c>
      <c r="D76" t="str">
        <f>VLOOKUP(A76, 'ABC Calc'!$A$2:$G$206, 7, FALSE)</f>
        <v>D</v>
      </c>
    </row>
    <row r="77" spans="1:4" x14ac:dyDescent="0.25">
      <c r="A77">
        <v>1190</v>
      </c>
      <c r="B77" t="s">
        <v>78</v>
      </c>
      <c r="C77">
        <f>VLOOKUP(A77,[1]Sheet7!$F$4:$I$209,4,FALSE)</f>
        <v>229086</v>
      </c>
      <c r="D77" t="str">
        <f>VLOOKUP(A77, 'ABC Calc'!$A$2:$G$206, 7, FALSE)</f>
        <v>D</v>
      </c>
    </row>
    <row r="78" spans="1:4" x14ac:dyDescent="0.25">
      <c r="A78">
        <v>1131</v>
      </c>
      <c r="B78" t="s">
        <v>79</v>
      </c>
      <c r="C78">
        <f>VLOOKUP(A78,[1]Sheet7!$F$4:$I$209,4,FALSE)</f>
        <v>204960</v>
      </c>
      <c r="D78" t="str">
        <f>VLOOKUP(A78, 'ABC Calc'!$A$2:$G$206, 7, FALSE)</f>
        <v>D</v>
      </c>
    </row>
    <row r="79" spans="1:4" x14ac:dyDescent="0.25">
      <c r="A79">
        <v>1158</v>
      </c>
      <c r="B79" t="s">
        <v>80</v>
      </c>
      <c r="C79">
        <f>VLOOKUP(A79,[1]Sheet7!$F$4:$I$209,4,FALSE)</f>
        <v>197100</v>
      </c>
      <c r="D79" t="str">
        <f>VLOOKUP(A79, 'ABC Calc'!$A$2:$G$206, 7, FALSE)</f>
        <v>D</v>
      </c>
    </row>
    <row r="80" spans="1:4" x14ac:dyDescent="0.25">
      <c r="A80">
        <v>1039</v>
      </c>
      <c r="B80" t="s">
        <v>81</v>
      </c>
      <c r="C80">
        <f>VLOOKUP(A80,[1]Sheet7!$F$4:$I$209,4,FALSE)</f>
        <v>194469</v>
      </c>
      <c r="D80" t="str">
        <f>VLOOKUP(A80, 'ABC Calc'!$A$2:$G$206, 7, FALSE)</f>
        <v>D</v>
      </c>
    </row>
    <row r="81" spans="1:4" x14ac:dyDescent="0.25">
      <c r="A81">
        <v>1050</v>
      </c>
      <c r="B81" t="s">
        <v>82</v>
      </c>
      <c r="C81">
        <f>VLOOKUP(A81,[1]Sheet7!$F$4:$I$209,4,FALSE)</f>
        <v>184092</v>
      </c>
      <c r="D81" t="str">
        <f>VLOOKUP(A81, 'ABC Calc'!$A$2:$G$206, 7, FALSE)</f>
        <v>D</v>
      </c>
    </row>
    <row r="82" spans="1:4" x14ac:dyDescent="0.25">
      <c r="A82">
        <v>1153</v>
      </c>
      <c r="B82" t="s">
        <v>83</v>
      </c>
      <c r="C82">
        <f>VLOOKUP(A82,[1]Sheet7!$F$4:$I$209,4,FALSE)</f>
        <v>176344</v>
      </c>
      <c r="D82" t="str">
        <f>VLOOKUP(A82, 'ABC Calc'!$A$2:$G$206, 7, FALSE)</f>
        <v>D</v>
      </c>
    </row>
    <row r="83" spans="1:4" x14ac:dyDescent="0.25">
      <c r="A83">
        <v>1062</v>
      </c>
      <c r="B83" t="s">
        <v>84</v>
      </c>
      <c r="C83">
        <f>VLOOKUP(A83,[1]Sheet7!$F$4:$I$209,4,FALSE)</f>
        <v>159132</v>
      </c>
      <c r="D83" t="str">
        <f>VLOOKUP(A83, 'ABC Calc'!$A$2:$G$206, 7, FALSE)</f>
        <v>D</v>
      </c>
    </row>
    <row r="84" spans="1:4" x14ac:dyDescent="0.25">
      <c r="A84">
        <v>1012</v>
      </c>
      <c r="B84" t="s">
        <v>85</v>
      </c>
      <c r="C84">
        <f>VLOOKUP(A84,[1]Sheet7!$F$4:$I$209,4,FALSE)</f>
        <v>146853</v>
      </c>
      <c r="D84" t="str">
        <f>VLOOKUP(A84, 'ABC Calc'!$A$2:$G$206, 7, FALSE)</f>
        <v>D</v>
      </c>
    </row>
    <row r="85" spans="1:4" x14ac:dyDescent="0.25">
      <c r="A85">
        <v>1068</v>
      </c>
      <c r="B85" t="s">
        <v>86</v>
      </c>
      <c r="C85">
        <f>VLOOKUP(A85,[1]Sheet7!$F$4:$I$209,4,FALSE)</f>
        <v>136890</v>
      </c>
      <c r="D85" t="str">
        <f>VLOOKUP(A85, 'ABC Calc'!$A$2:$G$206, 7, FALSE)</f>
        <v>D</v>
      </c>
    </row>
    <row r="86" spans="1:4" x14ac:dyDescent="0.25">
      <c r="A86">
        <v>1065</v>
      </c>
      <c r="B86" t="s">
        <v>87</v>
      </c>
      <c r="C86">
        <f>VLOOKUP(A86,[1]Sheet7!$F$4:$I$209,4,FALSE)</f>
        <v>132559</v>
      </c>
      <c r="D86" t="str">
        <f>VLOOKUP(A86, 'ABC Calc'!$A$2:$G$206, 7, FALSE)</f>
        <v>D</v>
      </c>
    </row>
    <row r="87" spans="1:4" x14ac:dyDescent="0.25">
      <c r="A87">
        <v>1069</v>
      </c>
      <c r="B87" t="s">
        <v>86</v>
      </c>
      <c r="C87">
        <f>VLOOKUP(A87,[1]Sheet7!$F$4:$I$209,4,FALSE)</f>
        <v>127588</v>
      </c>
      <c r="D87" t="str">
        <f>VLOOKUP(A87, 'ABC Calc'!$A$2:$G$206, 7, FALSE)</f>
        <v>D</v>
      </c>
    </row>
    <row r="88" spans="1:4" x14ac:dyDescent="0.25">
      <c r="A88">
        <v>1045</v>
      </c>
      <c r="B88" t="s">
        <v>88</v>
      </c>
      <c r="C88">
        <f>VLOOKUP(A88,[1]Sheet7!$F$4:$I$209,4,FALSE)</f>
        <v>122265</v>
      </c>
      <c r="D88" t="str">
        <f>VLOOKUP(A88, 'ABC Calc'!$A$2:$G$206, 7, FALSE)</f>
        <v>C</v>
      </c>
    </row>
    <row r="89" spans="1:4" x14ac:dyDescent="0.25">
      <c r="A89">
        <v>1046</v>
      </c>
      <c r="B89" t="s">
        <v>89</v>
      </c>
      <c r="C89">
        <f>VLOOKUP(A89,[1]Sheet7!$F$4:$I$209,4,FALSE)</f>
        <v>107712</v>
      </c>
      <c r="D89" t="str">
        <f>VLOOKUP(A89, 'ABC Calc'!$A$2:$G$206, 7, FALSE)</f>
        <v>D</v>
      </c>
    </row>
    <row r="90" spans="1:4" x14ac:dyDescent="0.25">
      <c r="A90">
        <v>1061</v>
      </c>
      <c r="B90" t="s">
        <v>90</v>
      </c>
      <c r="C90">
        <f>VLOOKUP(A90,[1]Sheet7!$F$4:$I$209,4,FALSE)</f>
        <v>106330</v>
      </c>
      <c r="D90" t="str">
        <f>VLOOKUP(A90, 'ABC Calc'!$A$2:$G$206, 7, FALSE)</f>
        <v>D</v>
      </c>
    </row>
    <row r="91" spans="1:4" x14ac:dyDescent="0.25">
      <c r="A91">
        <v>1041</v>
      </c>
      <c r="B91" t="s">
        <v>91</v>
      </c>
      <c r="C91">
        <f>VLOOKUP(A91,[1]Sheet7!$F$4:$I$209,4,FALSE)</f>
        <v>102098</v>
      </c>
      <c r="D91" t="str">
        <f>VLOOKUP(A91, 'ABC Calc'!$A$2:$G$206, 7, FALSE)</f>
        <v>D</v>
      </c>
    </row>
    <row r="92" spans="1:4" x14ac:dyDescent="0.25">
      <c r="A92">
        <v>1067</v>
      </c>
      <c r="B92" t="s">
        <v>92</v>
      </c>
      <c r="C92">
        <f>VLOOKUP(A92,[1]Sheet7!$F$4:$I$209,4,FALSE)</f>
        <v>100646</v>
      </c>
      <c r="D92" t="str">
        <f>VLOOKUP(A92, 'ABC Calc'!$A$2:$G$206, 7, FALSE)</f>
        <v>D</v>
      </c>
    </row>
    <row r="93" spans="1:4" x14ac:dyDescent="0.25">
      <c r="A93">
        <v>1064</v>
      </c>
      <c r="B93" t="s">
        <v>93</v>
      </c>
      <c r="C93">
        <f>VLOOKUP(A93,[1]Sheet7!$F$4:$I$209,4,FALSE)</f>
        <v>98658</v>
      </c>
      <c r="D93" t="str">
        <f>VLOOKUP(A93, 'ABC Calc'!$A$2:$G$206, 7, FALSE)</f>
        <v>D</v>
      </c>
    </row>
    <row r="94" spans="1:4" x14ac:dyDescent="0.25">
      <c r="A94">
        <v>1133</v>
      </c>
      <c r="B94" t="s">
        <v>94</v>
      </c>
      <c r="C94">
        <f>VLOOKUP(A94,[1]Sheet7!$F$4:$I$209,4,FALSE)</f>
        <v>94866</v>
      </c>
      <c r="D94" t="str">
        <f>VLOOKUP(A94, 'ABC Calc'!$A$2:$G$206, 7, FALSE)</f>
        <v>D</v>
      </c>
    </row>
    <row r="95" spans="1:4" x14ac:dyDescent="0.25">
      <c r="A95">
        <v>1029</v>
      </c>
      <c r="B95" t="s">
        <v>95</v>
      </c>
      <c r="C95">
        <f>VLOOKUP(A95,[1]Sheet7!$F$4:$I$209,4,FALSE)</f>
        <v>88995</v>
      </c>
      <c r="D95" t="str">
        <f>VLOOKUP(A95, 'ABC Calc'!$A$2:$G$206, 7, FALSE)</f>
        <v>D</v>
      </c>
    </row>
    <row r="96" spans="1:4" x14ac:dyDescent="0.25">
      <c r="A96">
        <v>1033</v>
      </c>
      <c r="B96" t="s">
        <v>96</v>
      </c>
      <c r="C96">
        <f>VLOOKUP(A96,[1]Sheet7!$F$4:$I$209,4,FALSE)</f>
        <v>84420</v>
      </c>
      <c r="D96" t="str">
        <f>VLOOKUP(A96, 'ABC Calc'!$A$2:$G$206, 7, FALSE)</f>
        <v>D</v>
      </c>
    </row>
    <row r="97" spans="1:4" x14ac:dyDescent="0.25">
      <c r="A97">
        <v>1130</v>
      </c>
      <c r="B97" t="s">
        <v>97</v>
      </c>
      <c r="C97">
        <f>VLOOKUP(A97,[1]Sheet7!$F$4:$I$209,4,FALSE)</f>
        <v>82476</v>
      </c>
      <c r="D97" t="str">
        <f>VLOOKUP(A97, 'ABC Calc'!$A$2:$G$206, 7, FALSE)</f>
        <v>D</v>
      </c>
    </row>
    <row r="98" spans="1:4" x14ac:dyDescent="0.25">
      <c r="A98">
        <v>1129</v>
      </c>
      <c r="B98" t="s">
        <v>98</v>
      </c>
      <c r="C98">
        <f>VLOOKUP(A98,[1]Sheet7!$F$4:$I$209,4,FALSE)</f>
        <v>80845</v>
      </c>
      <c r="D98" t="str">
        <f>VLOOKUP(A98, 'ABC Calc'!$A$2:$G$206, 7, FALSE)</f>
        <v>D</v>
      </c>
    </row>
    <row r="99" spans="1:4" x14ac:dyDescent="0.25">
      <c r="A99">
        <v>1128</v>
      </c>
      <c r="B99" t="s">
        <v>99</v>
      </c>
      <c r="C99">
        <f>VLOOKUP(A99,[1]Sheet7!$F$4:$I$209,4,FALSE)</f>
        <v>78392</v>
      </c>
      <c r="D99" t="str">
        <f>VLOOKUP(A99, 'ABC Calc'!$A$2:$G$206, 7, FALSE)</f>
        <v>D</v>
      </c>
    </row>
    <row r="100" spans="1:4" x14ac:dyDescent="0.25">
      <c r="A100">
        <v>1063</v>
      </c>
      <c r="B100" t="s">
        <v>100</v>
      </c>
      <c r="C100">
        <f>VLOOKUP(A100,[1]Sheet7!$F$4:$I$209,4,FALSE)</f>
        <v>78300</v>
      </c>
      <c r="D100" t="str">
        <f>VLOOKUP(A100, 'ABC Calc'!$A$2:$G$206, 7, FALSE)</f>
        <v>D</v>
      </c>
    </row>
    <row r="101" spans="1:4" x14ac:dyDescent="0.25">
      <c r="A101">
        <v>1135</v>
      </c>
      <c r="B101" t="s">
        <v>101</v>
      </c>
      <c r="C101">
        <f>VLOOKUP(A101,[1]Sheet7!$F$4:$I$209,4,FALSE)</f>
        <v>74772</v>
      </c>
      <c r="D101" t="str">
        <f>VLOOKUP(A101, 'ABC Calc'!$A$2:$G$206, 7, FALSE)</f>
        <v>D</v>
      </c>
    </row>
    <row r="102" spans="1:4" x14ac:dyDescent="0.25">
      <c r="A102">
        <v>1032</v>
      </c>
      <c r="B102" t="s">
        <v>102</v>
      </c>
      <c r="C102">
        <f>VLOOKUP(A102,[1]Sheet7!$F$4:$I$209,4,FALSE)</f>
        <v>74538</v>
      </c>
      <c r="D102" t="str">
        <f>VLOOKUP(A102, 'ABC Calc'!$A$2:$G$206, 7, FALSE)</f>
        <v>D</v>
      </c>
    </row>
    <row r="103" spans="1:4" x14ac:dyDescent="0.25">
      <c r="A103">
        <v>1025</v>
      </c>
      <c r="B103" t="s">
        <v>103</v>
      </c>
      <c r="C103">
        <f>VLOOKUP(A103,[1]Sheet7!$F$4:$I$209,4,FALSE)</f>
        <v>68985</v>
      </c>
      <c r="D103" t="str">
        <f>VLOOKUP(A103, 'ABC Calc'!$A$2:$G$206, 7, FALSE)</f>
        <v>D</v>
      </c>
    </row>
    <row r="104" spans="1:4" x14ac:dyDescent="0.25">
      <c r="A104">
        <v>1117</v>
      </c>
      <c r="B104" t="s">
        <v>104</v>
      </c>
      <c r="C104">
        <f>VLOOKUP(A104,[1]Sheet7!$F$4:$I$209,4,FALSE)</f>
        <v>65000</v>
      </c>
      <c r="D104" t="str">
        <f>VLOOKUP(A104, 'ABC Calc'!$A$2:$G$206, 7, FALSE)</f>
        <v>D</v>
      </c>
    </row>
    <row r="105" spans="1:4" x14ac:dyDescent="0.25">
      <c r="A105">
        <v>1106</v>
      </c>
      <c r="B105" t="s">
        <v>105</v>
      </c>
      <c r="C105">
        <f>VLOOKUP(A105,[1]Sheet7!$F$4:$I$209,4,FALSE)</f>
        <v>63135</v>
      </c>
      <c r="D105" t="str">
        <f>VLOOKUP(A105, 'ABC Calc'!$A$2:$G$206, 7, FALSE)</f>
        <v>D</v>
      </c>
    </row>
    <row r="106" spans="1:4" x14ac:dyDescent="0.25">
      <c r="A106">
        <v>1056</v>
      </c>
      <c r="B106" t="s">
        <v>106</v>
      </c>
      <c r="C106">
        <f>VLOOKUP(A106,[1]Sheet7!$F$4:$I$209,4,FALSE)</f>
        <v>61548</v>
      </c>
      <c r="D106" t="str">
        <f>VLOOKUP(A106, 'ABC Calc'!$A$2:$G$206, 7, FALSE)</f>
        <v>D</v>
      </c>
    </row>
    <row r="107" spans="1:4" x14ac:dyDescent="0.25">
      <c r="A107">
        <v>1048</v>
      </c>
      <c r="B107" t="s">
        <v>107</v>
      </c>
      <c r="C107">
        <f>VLOOKUP(A107,[1]Sheet7!$F$4:$I$209,4,FALSE)</f>
        <v>61536</v>
      </c>
      <c r="D107" t="str">
        <f>VLOOKUP(A107, 'ABC Calc'!$A$2:$G$206, 7, FALSE)</f>
        <v>D</v>
      </c>
    </row>
    <row r="108" spans="1:4" x14ac:dyDescent="0.25">
      <c r="A108">
        <v>1127</v>
      </c>
      <c r="B108" t="s">
        <v>108</v>
      </c>
      <c r="C108">
        <f>VLOOKUP(A108,[1]Sheet7!$F$4:$I$209,4,FALSE)</f>
        <v>61380</v>
      </c>
      <c r="D108" t="str">
        <f>VLOOKUP(A108, 'ABC Calc'!$A$2:$G$206, 7, FALSE)</f>
        <v>D</v>
      </c>
    </row>
    <row r="109" spans="1:4" x14ac:dyDescent="0.25">
      <c r="A109">
        <v>1126</v>
      </c>
      <c r="B109" t="s">
        <v>109</v>
      </c>
      <c r="C109">
        <f>VLOOKUP(A109,[1]Sheet7!$F$4:$I$209,4,FALSE)</f>
        <v>59568</v>
      </c>
      <c r="D109" t="str">
        <f>VLOOKUP(A109, 'ABC Calc'!$A$2:$G$206, 7, FALSE)</f>
        <v>D</v>
      </c>
    </row>
    <row r="110" spans="1:4" x14ac:dyDescent="0.25">
      <c r="A110">
        <v>1143</v>
      </c>
      <c r="B110" t="s">
        <v>110</v>
      </c>
      <c r="C110">
        <f>VLOOKUP(A110,[1]Sheet7!$F$4:$I$209,4,FALSE)</f>
        <v>57350</v>
      </c>
      <c r="D110" t="str">
        <f>VLOOKUP(A110, 'ABC Calc'!$A$2:$G$206, 7, FALSE)</f>
        <v>D</v>
      </c>
    </row>
    <row r="111" spans="1:4" x14ac:dyDescent="0.25">
      <c r="A111">
        <v>1134</v>
      </c>
      <c r="B111" t="s">
        <v>111</v>
      </c>
      <c r="C111">
        <f>VLOOKUP(A111,[1]Sheet7!$F$4:$I$209,4,FALSE)</f>
        <v>55440</v>
      </c>
      <c r="D111" t="str">
        <f>VLOOKUP(A111, 'ABC Calc'!$A$2:$G$206, 7, FALSE)</f>
        <v>D</v>
      </c>
    </row>
    <row r="112" spans="1:4" x14ac:dyDescent="0.25">
      <c r="A112">
        <v>1088</v>
      </c>
      <c r="B112" t="s">
        <v>112</v>
      </c>
      <c r="C112">
        <f>VLOOKUP(A112,[1]Sheet7!$F$4:$I$209,4,FALSE)</f>
        <v>55200</v>
      </c>
      <c r="D112" t="str">
        <f>VLOOKUP(A112, 'ABC Calc'!$A$2:$G$206, 7, FALSE)</f>
        <v>D</v>
      </c>
    </row>
    <row r="113" spans="1:4" x14ac:dyDescent="0.25">
      <c r="A113">
        <v>1049</v>
      </c>
      <c r="B113" t="s">
        <v>113</v>
      </c>
      <c r="C113">
        <f>VLOOKUP(A113,[1]Sheet7!$F$4:$I$209,4,FALSE)</f>
        <v>54188</v>
      </c>
      <c r="D113" t="str">
        <f>VLOOKUP(A113, 'ABC Calc'!$A$2:$G$206, 7, FALSE)</f>
        <v>D</v>
      </c>
    </row>
    <row r="114" spans="1:4" x14ac:dyDescent="0.25">
      <c r="A114">
        <v>1066</v>
      </c>
      <c r="B114" t="s">
        <v>114</v>
      </c>
      <c r="C114">
        <f>VLOOKUP(A114,[1]Sheet7!$F$4:$I$209,4,FALSE)</f>
        <v>53000</v>
      </c>
      <c r="D114" t="str">
        <f>VLOOKUP(A114, 'ABC Calc'!$A$2:$G$206, 7, FALSE)</f>
        <v>D</v>
      </c>
    </row>
    <row r="115" spans="1:4" x14ac:dyDescent="0.25">
      <c r="A115">
        <v>1052</v>
      </c>
      <c r="B115" t="s">
        <v>115</v>
      </c>
      <c r="C115">
        <f>VLOOKUP(A115,[1]Sheet7!$F$4:$I$209,4,FALSE)</f>
        <v>52488</v>
      </c>
      <c r="D115" t="str">
        <f>VLOOKUP(A115, 'ABC Calc'!$A$2:$G$206, 7, FALSE)</f>
        <v>D</v>
      </c>
    </row>
    <row r="116" spans="1:4" x14ac:dyDescent="0.25">
      <c r="A116">
        <v>1087</v>
      </c>
      <c r="B116" t="s">
        <v>116</v>
      </c>
      <c r="C116">
        <f>VLOOKUP(A116,[1]Sheet7!$F$4:$I$209,4,FALSE)</f>
        <v>52136</v>
      </c>
      <c r="D116" t="str">
        <f>VLOOKUP(A116, 'ABC Calc'!$A$2:$G$206, 7, FALSE)</f>
        <v>D</v>
      </c>
    </row>
    <row r="117" spans="1:4" x14ac:dyDescent="0.25">
      <c r="A117">
        <v>1018</v>
      </c>
      <c r="B117" t="s">
        <v>117</v>
      </c>
      <c r="C117">
        <f>VLOOKUP(A117,[1]Sheet7!$F$4:$I$209,4,FALSE)</f>
        <v>47304</v>
      </c>
      <c r="D117" t="str">
        <f>VLOOKUP(A117, 'ABC Calc'!$A$2:$G$206, 7, FALSE)</f>
        <v>D</v>
      </c>
    </row>
    <row r="118" spans="1:4" x14ac:dyDescent="0.25">
      <c r="A118">
        <v>1125</v>
      </c>
      <c r="B118" t="s">
        <v>118</v>
      </c>
      <c r="C118">
        <f>VLOOKUP(A118,[1]Sheet7!$F$4:$I$209,4,FALSE)</f>
        <v>41310</v>
      </c>
      <c r="D118" t="str">
        <f>VLOOKUP(A118, 'ABC Calc'!$A$2:$G$206, 7, FALSE)</f>
        <v>D</v>
      </c>
    </row>
    <row r="119" spans="1:4" x14ac:dyDescent="0.25">
      <c r="A119">
        <v>1059</v>
      </c>
      <c r="B119" t="s">
        <v>119</v>
      </c>
      <c r="C119">
        <f>VLOOKUP(A119,[1]Sheet7!$F$4:$I$209,4,FALSE)</f>
        <v>39294</v>
      </c>
      <c r="D119" t="str">
        <f>VLOOKUP(A119, 'ABC Calc'!$A$2:$G$206, 7, FALSE)</f>
        <v>D</v>
      </c>
    </row>
    <row r="120" spans="1:4" x14ac:dyDescent="0.25">
      <c r="A120">
        <v>1132</v>
      </c>
      <c r="B120" t="s">
        <v>120</v>
      </c>
      <c r="C120">
        <f>VLOOKUP(A120,[1]Sheet7!$F$4:$I$209,4,FALSE)</f>
        <v>38226</v>
      </c>
      <c r="D120" t="str">
        <f>VLOOKUP(A120, 'ABC Calc'!$A$2:$G$206, 7, FALSE)</f>
        <v>D</v>
      </c>
    </row>
    <row r="121" spans="1:4" x14ac:dyDescent="0.25">
      <c r="A121">
        <v>1057</v>
      </c>
      <c r="B121" t="s">
        <v>121</v>
      </c>
      <c r="C121">
        <f>VLOOKUP(A121,[1]Sheet7!$F$4:$I$209,4,FALSE)</f>
        <v>35805</v>
      </c>
      <c r="D121" t="str">
        <f>VLOOKUP(A121, 'ABC Calc'!$A$2:$G$206, 7, FALSE)</f>
        <v>D</v>
      </c>
    </row>
    <row r="122" spans="1:4" x14ac:dyDescent="0.25">
      <c r="A122">
        <v>1111</v>
      </c>
      <c r="B122" t="s">
        <v>122</v>
      </c>
      <c r="C122">
        <f>VLOOKUP(A122,[1]Sheet7!$F$4:$I$209,4,FALSE)</f>
        <v>32400</v>
      </c>
      <c r="D122" t="str">
        <f>VLOOKUP(A122, 'ABC Calc'!$A$2:$G$206, 7, FALSE)</f>
        <v>D</v>
      </c>
    </row>
    <row r="123" spans="1:4" x14ac:dyDescent="0.25">
      <c r="A123">
        <v>1104</v>
      </c>
      <c r="B123" t="s">
        <v>123</v>
      </c>
      <c r="C123">
        <f>VLOOKUP(A123,[1]Sheet7!$F$4:$I$209,4,FALSE)</f>
        <v>32130</v>
      </c>
      <c r="D123" t="str">
        <f>VLOOKUP(A123, 'ABC Calc'!$A$2:$G$206, 7, FALSE)</f>
        <v>D</v>
      </c>
    </row>
    <row r="124" spans="1:4" x14ac:dyDescent="0.25">
      <c r="A124">
        <v>1139</v>
      </c>
      <c r="B124" t="s">
        <v>124</v>
      </c>
      <c r="C124">
        <f>VLOOKUP(A124,[1]Sheet7!$F$4:$I$209,4,FALSE)</f>
        <v>31878</v>
      </c>
      <c r="D124" t="str">
        <f>VLOOKUP(A124, 'ABC Calc'!$A$2:$G$206, 7, FALSE)</f>
        <v>D</v>
      </c>
    </row>
    <row r="125" spans="1:4" x14ac:dyDescent="0.25">
      <c r="A125">
        <v>1034</v>
      </c>
      <c r="B125" t="s">
        <v>125</v>
      </c>
      <c r="C125">
        <f>VLOOKUP(A125,[1]Sheet7!$F$4:$I$209,4,FALSE)</f>
        <v>31093</v>
      </c>
      <c r="D125" t="str">
        <f>VLOOKUP(A125, 'ABC Calc'!$A$2:$G$206, 7, FALSE)</f>
        <v>D</v>
      </c>
    </row>
    <row r="126" spans="1:4" x14ac:dyDescent="0.25">
      <c r="A126">
        <v>1047</v>
      </c>
      <c r="B126" t="s">
        <v>126</v>
      </c>
      <c r="C126">
        <f>VLOOKUP(A126,[1]Sheet7!$F$4:$I$209,4,FALSE)</f>
        <v>30900</v>
      </c>
      <c r="D126" t="str">
        <f>VLOOKUP(A126, 'ABC Calc'!$A$2:$G$206, 7, FALSE)</f>
        <v>D</v>
      </c>
    </row>
    <row r="127" spans="1:4" x14ac:dyDescent="0.25">
      <c r="A127">
        <v>1058</v>
      </c>
      <c r="B127" t="s">
        <v>127</v>
      </c>
      <c r="C127">
        <f>VLOOKUP(A127,[1]Sheet7!$F$4:$I$209,4,FALSE)</f>
        <v>30525</v>
      </c>
      <c r="D127" t="str">
        <f>VLOOKUP(A127, 'ABC Calc'!$A$2:$G$206, 7, FALSE)</f>
        <v>D</v>
      </c>
    </row>
    <row r="128" spans="1:4" x14ac:dyDescent="0.25">
      <c r="A128">
        <v>1011</v>
      </c>
      <c r="B128" t="s">
        <v>128</v>
      </c>
      <c r="C128">
        <f>VLOOKUP(A128,[1]Sheet7!$F$4:$I$209,4,FALSE)</f>
        <v>29757</v>
      </c>
      <c r="D128" t="str">
        <f>VLOOKUP(A128, 'ABC Calc'!$A$2:$G$206, 7, FALSE)</f>
        <v>D</v>
      </c>
    </row>
    <row r="129" spans="1:4" x14ac:dyDescent="0.25">
      <c r="A129">
        <v>1140</v>
      </c>
      <c r="B129" t="s">
        <v>129</v>
      </c>
      <c r="C129">
        <f>VLOOKUP(A129,[1]Sheet7!$F$4:$I$209,4,FALSE)</f>
        <v>29440</v>
      </c>
      <c r="D129" t="str">
        <f>VLOOKUP(A129, 'ABC Calc'!$A$2:$G$206, 7, FALSE)</f>
        <v>D</v>
      </c>
    </row>
    <row r="130" spans="1:4" x14ac:dyDescent="0.25">
      <c r="A130">
        <v>1094</v>
      </c>
      <c r="B130" t="s">
        <v>130</v>
      </c>
      <c r="C130">
        <f>VLOOKUP(A130,[1]Sheet7!$F$4:$I$209,4,FALSE)</f>
        <v>29187</v>
      </c>
      <c r="D130" t="str">
        <f>VLOOKUP(A130, 'ABC Calc'!$A$2:$G$206, 7, FALSE)</f>
        <v>D</v>
      </c>
    </row>
    <row r="131" spans="1:4" x14ac:dyDescent="0.25">
      <c r="A131">
        <v>1093</v>
      </c>
      <c r="B131" t="s">
        <v>131</v>
      </c>
      <c r="C131">
        <f>VLOOKUP(A131,[1]Sheet7!$F$4:$I$209,4,FALSE)</f>
        <v>26884</v>
      </c>
      <c r="D131" t="str">
        <f>VLOOKUP(A131, 'ABC Calc'!$A$2:$G$206, 7, FALSE)</f>
        <v>D</v>
      </c>
    </row>
    <row r="132" spans="1:4" x14ac:dyDescent="0.25">
      <c r="A132">
        <v>1100</v>
      </c>
      <c r="B132" t="s">
        <v>132</v>
      </c>
      <c r="C132">
        <f>VLOOKUP(A132,[1]Sheet7!$F$4:$I$209,4,FALSE)</f>
        <v>26260</v>
      </c>
      <c r="D132" t="str">
        <f>VLOOKUP(A132, 'ABC Calc'!$A$2:$G$206, 7, FALSE)</f>
        <v>D</v>
      </c>
    </row>
    <row r="133" spans="1:4" x14ac:dyDescent="0.25">
      <c r="A133">
        <v>1053</v>
      </c>
      <c r="B133" t="s">
        <v>133</v>
      </c>
      <c r="C133">
        <f>VLOOKUP(A133,[1]Sheet7!$F$4:$I$209,4,FALSE)</f>
        <v>25650</v>
      </c>
      <c r="D133" t="str">
        <f>VLOOKUP(A133, 'ABC Calc'!$A$2:$G$206, 7, FALSE)</f>
        <v>D</v>
      </c>
    </row>
    <row r="134" spans="1:4" x14ac:dyDescent="0.25">
      <c r="A134">
        <v>1138</v>
      </c>
      <c r="B134" t="s">
        <v>134</v>
      </c>
      <c r="C134">
        <f>VLOOKUP(A134,[1]Sheet7!$F$4:$I$209,4,FALSE)</f>
        <v>24705</v>
      </c>
      <c r="D134" t="str">
        <f>VLOOKUP(A134, 'ABC Calc'!$A$2:$G$206, 7, FALSE)</f>
        <v>D</v>
      </c>
    </row>
    <row r="135" spans="1:4" x14ac:dyDescent="0.25">
      <c r="A135">
        <v>1038</v>
      </c>
      <c r="B135" t="s">
        <v>135</v>
      </c>
      <c r="C135">
        <f>VLOOKUP(A135,[1]Sheet7!$F$4:$I$209,4,FALSE)</f>
        <v>22302</v>
      </c>
      <c r="D135" t="str">
        <f>VLOOKUP(A135, 'ABC Calc'!$A$2:$G$206, 7, FALSE)</f>
        <v>D</v>
      </c>
    </row>
    <row r="136" spans="1:4" x14ac:dyDescent="0.25">
      <c r="A136">
        <v>1136</v>
      </c>
      <c r="B136" t="s">
        <v>136</v>
      </c>
      <c r="C136">
        <f>VLOOKUP(A136,[1]Sheet7!$F$4:$I$209,4,FALSE)</f>
        <v>21600</v>
      </c>
      <c r="D136" t="str">
        <f>VLOOKUP(A136, 'ABC Calc'!$A$2:$G$206, 7, FALSE)</f>
        <v>D</v>
      </c>
    </row>
    <row r="137" spans="1:4" x14ac:dyDescent="0.25">
      <c r="A137">
        <v>1110</v>
      </c>
      <c r="B137" t="s">
        <v>137</v>
      </c>
      <c r="C137">
        <f>VLOOKUP(A137,[1]Sheet7!$F$4:$I$209,4,FALSE)</f>
        <v>18225</v>
      </c>
      <c r="D137" t="str">
        <f>VLOOKUP(A137, 'ABC Calc'!$A$2:$G$206, 7, FALSE)</f>
        <v>D</v>
      </c>
    </row>
    <row r="138" spans="1:4" x14ac:dyDescent="0.25">
      <c r="A138">
        <v>1099</v>
      </c>
      <c r="B138" t="s">
        <v>138</v>
      </c>
      <c r="C138">
        <f>VLOOKUP(A138,[1]Sheet7!$F$4:$I$209,4,FALSE)</f>
        <v>17876</v>
      </c>
      <c r="D138" t="str">
        <f>VLOOKUP(A138, 'ABC Calc'!$A$2:$G$206, 7, FALSE)</f>
        <v>D</v>
      </c>
    </row>
    <row r="139" spans="1:4" x14ac:dyDescent="0.25">
      <c r="A139">
        <v>1051</v>
      </c>
      <c r="B139" t="s">
        <v>139</v>
      </c>
      <c r="C139">
        <f>VLOOKUP(A139,[1]Sheet7!$F$4:$I$209,4,FALSE)</f>
        <v>17685</v>
      </c>
      <c r="D139" t="str">
        <f>VLOOKUP(A139, 'ABC Calc'!$A$2:$G$206, 7, FALSE)</f>
        <v>D</v>
      </c>
    </row>
    <row r="140" spans="1:4" x14ac:dyDescent="0.25">
      <c r="A140">
        <v>1023</v>
      </c>
      <c r="B140" t="s">
        <v>140</v>
      </c>
      <c r="C140">
        <f>VLOOKUP(A140,[1]Sheet7!$F$4:$I$209,4,FALSE)</f>
        <v>17250</v>
      </c>
      <c r="D140" t="str">
        <f>VLOOKUP(A140, 'ABC Calc'!$A$2:$G$206, 7, FALSE)</f>
        <v>D</v>
      </c>
    </row>
    <row r="141" spans="1:4" x14ac:dyDescent="0.25">
      <c r="A141">
        <v>1014</v>
      </c>
      <c r="B141" t="s">
        <v>141</v>
      </c>
      <c r="C141">
        <f>VLOOKUP(A141,[1]Sheet7!$F$4:$I$209,4,FALSE)</f>
        <v>16125</v>
      </c>
      <c r="D141" t="str">
        <f>VLOOKUP(A141, 'ABC Calc'!$A$2:$G$206, 7, FALSE)</f>
        <v>D</v>
      </c>
    </row>
    <row r="142" spans="1:4" x14ac:dyDescent="0.25">
      <c r="A142">
        <v>1089</v>
      </c>
      <c r="B142" t="s">
        <v>142</v>
      </c>
      <c r="C142">
        <f>VLOOKUP(A142,[1]Sheet7!$F$4:$I$209,4,FALSE)</f>
        <v>15960</v>
      </c>
      <c r="D142" t="str">
        <f>VLOOKUP(A142, 'ABC Calc'!$A$2:$G$206, 7, FALSE)</f>
        <v>D</v>
      </c>
    </row>
    <row r="143" spans="1:4" x14ac:dyDescent="0.25">
      <c r="A143">
        <v>1031</v>
      </c>
      <c r="B143" t="s">
        <v>143</v>
      </c>
      <c r="C143">
        <f>VLOOKUP(A143,[1]Sheet7!$F$4:$I$209,4,FALSE)</f>
        <v>14756</v>
      </c>
      <c r="D143" t="str">
        <f>VLOOKUP(A143, 'ABC Calc'!$A$2:$G$206, 7, FALSE)</f>
        <v>D</v>
      </c>
    </row>
    <row r="144" spans="1:4" x14ac:dyDescent="0.25">
      <c r="A144">
        <v>1096</v>
      </c>
      <c r="B144" t="s">
        <v>144</v>
      </c>
      <c r="C144">
        <f>VLOOKUP(A144,[1]Sheet7!$F$4:$I$209,4,FALSE)</f>
        <v>14476</v>
      </c>
      <c r="D144" t="str">
        <f>VLOOKUP(A144, 'ABC Calc'!$A$2:$G$206, 7, FALSE)</f>
        <v>D</v>
      </c>
    </row>
    <row r="145" spans="1:4" x14ac:dyDescent="0.25">
      <c r="A145">
        <v>1028</v>
      </c>
      <c r="B145" t="s">
        <v>145</v>
      </c>
      <c r="C145">
        <f>VLOOKUP(A145,[1]Sheet7!$F$4:$I$209,4,FALSE)</f>
        <v>14276</v>
      </c>
      <c r="D145" t="str">
        <f>VLOOKUP(A145, 'ABC Calc'!$A$2:$G$206, 7, FALSE)</f>
        <v>D</v>
      </c>
    </row>
    <row r="146" spans="1:4" x14ac:dyDescent="0.25">
      <c r="A146">
        <v>1060</v>
      </c>
      <c r="B146" t="s">
        <v>146</v>
      </c>
      <c r="C146">
        <f>VLOOKUP(A146,[1]Sheet7!$F$4:$I$209,4,FALSE)</f>
        <v>13975</v>
      </c>
      <c r="D146" t="str">
        <f>VLOOKUP(A146, 'ABC Calc'!$A$2:$G$206, 7, FALSE)</f>
        <v>D</v>
      </c>
    </row>
    <row r="147" spans="1:4" x14ac:dyDescent="0.25">
      <c r="A147">
        <v>1020</v>
      </c>
      <c r="B147" t="s">
        <v>147</v>
      </c>
      <c r="C147">
        <f>VLOOKUP(A147,[1]Sheet7!$F$4:$I$209,4,FALSE)</f>
        <v>12964</v>
      </c>
      <c r="D147" t="str">
        <f>VLOOKUP(A147, 'ABC Calc'!$A$2:$G$206, 7, FALSE)</f>
        <v>D</v>
      </c>
    </row>
    <row r="148" spans="1:4" x14ac:dyDescent="0.25">
      <c r="A148">
        <v>1030</v>
      </c>
      <c r="B148" t="s">
        <v>148</v>
      </c>
      <c r="C148">
        <f>VLOOKUP(A148,[1]Sheet7!$F$4:$I$209,4,FALSE)</f>
        <v>12597</v>
      </c>
      <c r="D148" t="str">
        <f>VLOOKUP(A148, 'ABC Calc'!$A$2:$G$206, 7, FALSE)</f>
        <v>D</v>
      </c>
    </row>
    <row r="149" spans="1:4" x14ac:dyDescent="0.25">
      <c r="A149">
        <v>1080</v>
      </c>
      <c r="B149" t="s">
        <v>149</v>
      </c>
      <c r="C149">
        <f>VLOOKUP(A149,[1]Sheet7!$F$4:$I$209,4,FALSE)</f>
        <v>12274</v>
      </c>
      <c r="D149" t="str">
        <f>VLOOKUP(A149, 'ABC Calc'!$A$2:$G$206, 7, FALSE)</f>
        <v>D</v>
      </c>
    </row>
    <row r="150" spans="1:4" x14ac:dyDescent="0.25">
      <c r="A150">
        <v>1081</v>
      </c>
      <c r="B150" t="s">
        <v>150</v>
      </c>
      <c r="C150">
        <f>VLOOKUP(A150,[1]Sheet7!$F$4:$I$209,4,FALSE)</f>
        <v>10794</v>
      </c>
      <c r="D150" t="str">
        <f>VLOOKUP(A150, 'ABC Calc'!$A$2:$G$206, 7, FALSE)</f>
        <v>D</v>
      </c>
    </row>
    <row r="151" spans="1:4" x14ac:dyDescent="0.25">
      <c r="A151">
        <v>1082</v>
      </c>
      <c r="B151" t="s">
        <v>151</v>
      </c>
      <c r="C151">
        <f>VLOOKUP(A151,[1]Sheet7!$F$4:$I$209,4,FALSE)</f>
        <v>10530</v>
      </c>
      <c r="D151" t="str">
        <f>VLOOKUP(A151, 'ABC Calc'!$A$2:$G$206, 7, FALSE)</f>
        <v>D</v>
      </c>
    </row>
    <row r="152" spans="1:4" x14ac:dyDescent="0.25">
      <c r="A152">
        <v>1026</v>
      </c>
      <c r="B152" t="s">
        <v>152</v>
      </c>
      <c r="C152">
        <f>VLOOKUP(A152,[1]Sheet7!$F$4:$I$209,4,FALSE)</f>
        <v>10244</v>
      </c>
      <c r="D152" t="str">
        <f>VLOOKUP(A152, 'ABC Calc'!$A$2:$G$206, 7, FALSE)</f>
        <v>D</v>
      </c>
    </row>
    <row r="153" spans="1:4" x14ac:dyDescent="0.25">
      <c r="A153">
        <v>1071</v>
      </c>
      <c r="B153" t="s">
        <v>153</v>
      </c>
      <c r="C153">
        <f>VLOOKUP(A153,[1]Sheet7!$F$4:$I$209,4,FALSE)</f>
        <v>10024</v>
      </c>
      <c r="D153" t="str">
        <f>VLOOKUP(A153, 'ABC Calc'!$A$2:$G$206, 7, FALSE)</f>
        <v>D</v>
      </c>
    </row>
    <row r="154" spans="1:4" x14ac:dyDescent="0.25">
      <c r="A154">
        <v>1095</v>
      </c>
      <c r="B154" t="s">
        <v>154</v>
      </c>
      <c r="C154">
        <f>VLOOKUP(A154,[1]Sheet7!$F$4:$I$209,4,FALSE)</f>
        <v>9198</v>
      </c>
      <c r="D154" t="str">
        <f>VLOOKUP(A154, 'ABC Calc'!$A$2:$G$206, 7, FALSE)</f>
        <v>D</v>
      </c>
    </row>
    <row r="155" spans="1:4" x14ac:dyDescent="0.25">
      <c r="A155">
        <v>1084</v>
      </c>
      <c r="B155" t="s">
        <v>155</v>
      </c>
      <c r="C155">
        <f>VLOOKUP(A155,[1]Sheet7!$F$4:$I$209,4,FALSE)</f>
        <v>8569</v>
      </c>
      <c r="D155" t="str">
        <f>VLOOKUP(A155, 'ABC Calc'!$A$2:$G$206, 7, FALSE)</f>
        <v>D</v>
      </c>
    </row>
    <row r="156" spans="1:4" x14ac:dyDescent="0.25">
      <c r="A156">
        <v>1107</v>
      </c>
      <c r="B156" t="s">
        <v>156</v>
      </c>
      <c r="C156">
        <f>VLOOKUP(A156,[1]Sheet7!$F$4:$I$209,4,FALSE)</f>
        <v>8388</v>
      </c>
      <c r="D156" t="str">
        <f>VLOOKUP(A156, 'ABC Calc'!$A$2:$G$206, 7, FALSE)</f>
        <v>D</v>
      </c>
    </row>
    <row r="157" spans="1:4" x14ac:dyDescent="0.25">
      <c r="A157">
        <v>1074</v>
      </c>
      <c r="B157" t="s">
        <v>157</v>
      </c>
      <c r="C157">
        <f>VLOOKUP(A157,[1]Sheet7!$F$4:$I$209,4,FALSE)</f>
        <v>7659</v>
      </c>
      <c r="D157" t="str">
        <f>VLOOKUP(A157, 'ABC Calc'!$A$2:$G$206, 7, FALSE)</f>
        <v>D</v>
      </c>
    </row>
    <row r="158" spans="1:4" x14ac:dyDescent="0.25">
      <c r="A158">
        <v>1145</v>
      </c>
      <c r="B158" t="s">
        <v>158</v>
      </c>
      <c r="C158">
        <f>VLOOKUP(A158,[1]Sheet7!$F$4:$I$209,4,FALSE)</f>
        <v>7648</v>
      </c>
      <c r="D158" t="str">
        <f>VLOOKUP(A158, 'ABC Calc'!$A$2:$G$206, 7, FALSE)</f>
        <v>D</v>
      </c>
    </row>
    <row r="159" spans="1:4" x14ac:dyDescent="0.25">
      <c r="A159">
        <v>1119</v>
      </c>
      <c r="B159" t="s">
        <v>159</v>
      </c>
      <c r="C159">
        <f>VLOOKUP(A159,[1]Sheet7!$F$4:$I$209,4,FALSE)</f>
        <v>7590</v>
      </c>
      <c r="D159" t="str">
        <f>VLOOKUP(A159, 'ABC Calc'!$A$2:$G$206, 7, FALSE)</f>
        <v>D</v>
      </c>
    </row>
    <row r="160" spans="1:4" x14ac:dyDescent="0.25">
      <c r="A160">
        <v>1149</v>
      </c>
      <c r="B160" t="s">
        <v>160</v>
      </c>
      <c r="C160">
        <f>VLOOKUP(A160,[1]Sheet7!$F$4:$I$209,4,FALSE)</f>
        <v>6790</v>
      </c>
      <c r="D160" t="str">
        <f>VLOOKUP(A160, 'ABC Calc'!$A$2:$G$206, 7, FALSE)</f>
        <v>D</v>
      </c>
    </row>
    <row r="161" spans="1:4" x14ac:dyDescent="0.25">
      <c r="A161">
        <v>1042</v>
      </c>
      <c r="B161" t="s">
        <v>161</v>
      </c>
      <c r="C161">
        <f>VLOOKUP(A161,[1]Sheet7!$F$4:$I$209,4,FALSE)</f>
        <v>6572</v>
      </c>
      <c r="D161" t="str">
        <f>VLOOKUP(A161, 'ABC Calc'!$A$2:$G$206, 7, FALSE)</f>
        <v>D</v>
      </c>
    </row>
    <row r="162" spans="1:4" x14ac:dyDescent="0.25">
      <c r="A162">
        <v>1102</v>
      </c>
      <c r="B162" t="s">
        <v>162</v>
      </c>
      <c r="C162">
        <f>VLOOKUP(A162,[1]Sheet7!$F$4:$I$209,4,FALSE)</f>
        <v>6556</v>
      </c>
      <c r="D162" t="str">
        <f>VLOOKUP(A162, 'ABC Calc'!$A$2:$G$206, 7, FALSE)</f>
        <v>D</v>
      </c>
    </row>
    <row r="163" spans="1:4" x14ac:dyDescent="0.25">
      <c r="A163">
        <v>1137</v>
      </c>
      <c r="B163" t="s">
        <v>163</v>
      </c>
      <c r="C163">
        <f>VLOOKUP(A163,[1]Sheet7!$F$4:$I$209,4,FALSE)</f>
        <v>6556</v>
      </c>
      <c r="D163" t="str">
        <f>VLOOKUP(A163, 'ABC Calc'!$A$2:$G$206, 7, FALSE)</f>
        <v>D</v>
      </c>
    </row>
    <row r="164" spans="1:4" x14ac:dyDescent="0.25">
      <c r="A164">
        <v>1101</v>
      </c>
      <c r="B164" t="s">
        <v>164</v>
      </c>
      <c r="C164">
        <f>VLOOKUP(A164,[1]Sheet7!$F$4:$I$209,4,FALSE)</f>
        <v>6536</v>
      </c>
      <c r="D164" t="str">
        <f>VLOOKUP(A164, 'ABC Calc'!$A$2:$G$206, 7, FALSE)</f>
        <v>D</v>
      </c>
    </row>
    <row r="165" spans="1:4" x14ac:dyDescent="0.25">
      <c r="A165">
        <v>1141</v>
      </c>
      <c r="B165" t="s">
        <v>166</v>
      </c>
      <c r="C165">
        <f>VLOOKUP(A165,[1]Sheet7!$F$4:$I$209,4,FALSE)</f>
        <v>6440</v>
      </c>
      <c r="D165" t="str">
        <f>VLOOKUP(A165, 'ABC Calc'!$A$2:$G$206, 7, FALSE)</f>
        <v>D</v>
      </c>
    </row>
    <row r="166" spans="1:4" x14ac:dyDescent="0.25">
      <c r="A166">
        <v>1114</v>
      </c>
      <c r="B166" t="s">
        <v>167</v>
      </c>
      <c r="C166">
        <f>VLOOKUP(A166,[1]Sheet7!$F$4:$I$209,4,FALSE)</f>
        <v>6439</v>
      </c>
      <c r="D166" t="str">
        <f>VLOOKUP(A166, 'ABC Calc'!$A$2:$G$206, 7, FALSE)</f>
        <v>D</v>
      </c>
    </row>
    <row r="167" spans="1:4" x14ac:dyDescent="0.25">
      <c r="A167">
        <v>1142</v>
      </c>
      <c r="B167" t="s">
        <v>168</v>
      </c>
      <c r="C167">
        <f>VLOOKUP(A167,[1]Sheet7!$F$4:$I$209,4,FALSE)</f>
        <v>6300</v>
      </c>
      <c r="D167" t="str">
        <f>VLOOKUP(A167, 'ABC Calc'!$A$2:$G$206, 7, FALSE)</f>
        <v>D</v>
      </c>
    </row>
    <row r="168" spans="1:4" x14ac:dyDescent="0.25">
      <c r="A168">
        <v>1079</v>
      </c>
      <c r="B168" t="s">
        <v>169</v>
      </c>
      <c r="C168">
        <f>VLOOKUP(A168,[1]Sheet7!$F$4:$I$209,4,FALSE)</f>
        <v>6210</v>
      </c>
      <c r="D168" t="str">
        <f>VLOOKUP(A168, 'ABC Calc'!$A$2:$G$206, 7, FALSE)</f>
        <v>D</v>
      </c>
    </row>
    <row r="169" spans="1:4" x14ac:dyDescent="0.25">
      <c r="A169">
        <v>1122</v>
      </c>
      <c r="B169" t="s">
        <v>170</v>
      </c>
      <c r="C169">
        <f>VLOOKUP(A169,[1]Sheet7!$F$4:$I$209,4,FALSE)</f>
        <v>6105</v>
      </c>
      <c r="D169" t="str">
        <f>VLOOKUP(A169, 'ABC Calc'!$A$2:$G$206, 7, FALSE)</f>
        <v>D</v>
      </c>
    </row>
    <row r="170" spans="1:4" x14ac:dyDescent="0.25">
      <c r="A170">
        <v>1108</v>
      </c>
      <c r="B170" t="s">
        <v>171</v>
      </c>
      <c r="C170">
        <f>VLOOKUP(A170,[1]Sheet7!$F$4:$I$209,4,FALSE)</f>
        <v>5805</v>
      </c>
      <c r="D170" t="str">
        <f>VLOOKUP(A170, 'ABC Calc'!$A$2:$G$206, 7, FALSE)</f>
        <v>D</v>
      </c>
    </row>
    <row r="171" spans="1:4" x14ac:dyDescent="0.25">
      <c r="A171">
        <v>1112</v>
      </c>
      <c r="B171" t="s">
        <v>172</v>
      </c>
      <c r="C171">
        <f>VLOOKUP(A171,[1]Sheet7!$F$4:$I$209,4,FALSE)</f>
        <v>5656</v>
      </c>
      <c r="D171" t="str">
        <f>VLOOKUP(A171, 'ABC Calc'!$A$2:$G$206, 7, FALSE)</f>
        <v>D</v>
      </c>
    </row>
    <row r="172" spans="1:4" x14ac:dyDescent="0.25">
      <c r="A172">
        <v>1044</v>
      </c>
      <c r="B172" t="s">
        <v>173</v>
      </c>
      <c r="C172">
        <f>VLOOKUP(A172,[1]Sheet7!$F$4:$I$209,4,FALSE)</f>
        <v>5524</v>
      </c>
      <c r="D172" t="str">
        <f>VLOOKUP(A172, 'ABC Calc'!$A$2:$G$206, 7, FALSE)</f>
        <v>D</v>
      </c>
    </row>
    <row r="173" spans="1:4" x14ac:dyDescent="0.25">
      <c r="A173">
        <v>1147</v>
      </c>
      <c r="B173" t="s">
        <v>174</v>
      </c>
      <c r="C173">
        <f>VLOOKUP(A173,[1]Sheet7!$F$4:$I$209,4,FALSE)</f>
        <v>5425</v>
      </c>
      <c r="D173" t="str">
        <f>VLOOKUP(A173, 'ABC Calc'!$A$2:$G$206, 7, FALSE)</f>
        <v>D</v>
      </c>
    </row>
    <row r="174" spans="1:4" x14ac:dyDescent="0.25">
      <c r="A174">
        <v>1116</v>
      </c>
      <c r="B174" t="s">
        <v>175</v>
      </c>
      <c r="C174">
        <f>VLOOKUP(A174,[1]Sheet7!$F$4:$I$209,4,FALSE)</f>
        <v>5320</v>
      </c>
      <c r="D174" t="str">
        <f>VLOOKUP(A174, 'ABC Calc'!$A$2:$G$206, 7, FALSE)</f>
        <v>D</v>
      </c>
    </row>
    <row r="175" spans="1:4" x14ac:dyDescent="0.25">
      <c r="A175">
        <v>1017</v>
      </c>
      <c r="B175" t="s">
        <v>176</v>
      </c>
      <c r="C175">
        <f>VLOOKUP(A175,[1]Sheet7!$F$4:$I$209,4,FALSE)</f>
        <v>5166</v>
      </c>
      <c r="D175" t="str">
        <f>VLOOKUP(A175, 'ABC Calc'!$A$2:$G$206, 7, FALSE)</f>
        <v>D</v>
      </c>
    </row>
    <row r="176" spans="1:4" x14ac:dyDescent="0.25">
      <c r="A176">
        <v>1027</v>
      </c>
      <c r="B176" t="s">
        <v>177</v>
      </c>
      <c r="C176">
        <f>VLOOKUP(A176,[1]Sheet7!$F$4:$I$209,4,FALSE)</f>
        <v>5166</v>
      </c>
      <c r="D176" t="str">
        <f>VLOOKUP(A176, 'ABC Calc'!$A$2:$G$206, 7, FALSE)</f>
        <v>D</v>
      </c>
    </row>
    <row r="177" spans="1:4" x14ac:dyDescent="0.25">
      <c r="A177">
        <v>1098</v>
      </c>
      <c r="B177" t="s">
        <v>178</v>
      </c>
      <c r="C177">
        <f>VLOOKUP(A177,[1]Sheet7!$F$4:$I$209,4,FALSE)</f>
        <v>5133</v>
      </c>
      <c r="D177" t="str">
        <f>VLOOKUP(A177, 'ABC Calc'!$A$2:$G$206, 7, FALSE)</f>
        <v>D</v>
      </c>
    </row>
    <row r="178" spans="1:4" x14ac:dyDescent="0.25">
      <c r="A178">
        <v>1073</v>
      </c>
      <c r="B178" t="s">
        <v>179</v>
      </c>
      <c r="C178">
        <f>VLOOKUP(A178,[1]Sheet7!$F$4:$I$209,4,FALSE)</f>
        <v>4888</v>
      </c>
      <c r="D178" t="str">
        <f>VLOOKUP(A178, 'ABC Calc'!$A$2:$G$206, 7, FALSE)</f>
        <v>D</v>
      </c>
    </row>
    <row r="179" spans="1:4" x14ac:dyDescent="0.25">
      <c r="A179">
        <v>1085</v>
      </c>
      <c r="B179" t="s">
        <v>180</v>
      </c>
      <c r="C179">
        <f>VLOOKUP(A179,[1]Sheet7!$F$4:$I$209,4,FALSE)</f>
        <v>4725</v>
      </c>
      <c r="D179" t="str">
        <f>VLOOKUP(A179, 'ABC Calc'!$A$2:$G$206, 7, FALSE)</f>
        <v>D</v>
      </c>
    </row>
    <row r="180" spans="1:4" x14ac:dyDescent="0.25">
      <c r="A180">
        <v>1022</v>
      </c>
      <c r="B180" t="s">
        <v>181</v>
      </c>
      <c r="C180">
        <f>VLOOKUP(A180,[1]Sheet7!$F$4:$I$209,4,FALSE)</f>
        <v>4648</v>
      </c>
      <c r="D180" t="str">
        <f>VLOOKUP(A180, 'ABC Calc'!$A$2:$G$206, 7, FALSE)</f>
        <v>D</v>
      </c>
    </row>
    <row r="181" spans="1:4" x14ac:dyDescent="0.25">
      <c r="A181">
        <v>1118</v>
      </c>
      <c r="B181" t="s">
        <v>182</v>
      </c>
      <c r="C181">
        <f>VLOOKUP(A181,[1]Sheet7!$F$4:$I$209,4,FALSE)</f>
        <v>4584</v>
      </c>
      <c r="D181" t="str">
        <f>VLOOKUP(A181, 'ABC Calc'!$A$2:$G$206, 7, FALSE)</f>
        <v>D</v>
      </c>
    </row>
    <row r="182" spans="1:4" x14ac:dyDescent="0.25">
      <c r="A182">
        <v>1124</v>
      </c>
      <c r="B182" t="s">
        <v>183</v>
      </c>
      <c r="C182">
        <f>VLOOKUP(A182,[1]Sheet7!$F$4:$I$209,4,FALSE)</f>
        <v>4389</v>
      </c>
      <c r="D182" t="str">
        <f>VLOOKUP(A182, 'ABC Calc'!$A$2:$G$206, 7, FALSE)</f>
        <v>D</v>
      </c>
    </row>
    <row r="183" spans="1:4" x14ac:dyDescent="0.25">
      <c r="A183">
        <v>1072</v>
      </c>
      <c r="B183" t="s">
        <v>184</v>
      </c>
      <c r="C183">
        <f>VLOOKUP(A183,[1]Sheet7!$F$4:$I$209,4,FALSE)</f>
        <v>4263</v>
      </c>
      <c r="D183" t="str">
        <f>VLOOKUP(A183, 'ABC Calc'!$A$2:$G$206, 7, FALSE)</f>
        <v>D</v>
      </c>
    </row>
    <row r="184" spans="1:4" x14ac:dyDescent="0.25">
      <c r="A184">
        <v>1078</v>
      </c>
      <c r="B184" t="s">
        <v>185</v>
      </c>
      <c r="C184">
        <f>VLOOKUP(A184,[1]Sheet7!$F$4:$I$209,4,FALSE)</f>
        <v>4200</v>
      </c>
      <c r="D184" t="str">
        <f>VLOOKUP(A184, 'ABC Calc'!$A$2:$G$206, 7, FALSE)</f>
        <v>D</v>
      </c>
    </row>
    <row r="185" spans="1:4" x14ac:dyDescent="0.25">
      <c r="A185">
        <v>1146</v>
      </c>
      <c r="B185" t="s">
        <v>186</v>
      </c>
      <c r="C185">
        <f>VLOOKUP(A185,[1]Sheet7!$F$4:$I$209,4,FALSE)</f>
        <v>4050</v>
      </c>
      <c r="D185" t="str">
        <f>VLOOKUP(A185, 'ABC Calc'!$A$2:$G$206, 7, FALSE)</f>
        <v>D</v>
      </c>
    </row>
    <row r="186" spans="1:4" x14ac:dyDescent="0.25">
      <c r="A186">
        <v>1077</v>
      </c>
      <c r="B186" t="s">
        <v>187</v>
      </c>
      <c r="C186">
        <f>VLOOKUP(A186,[1]Sheet7!$F$4:$I$209,4,FALSE)</f>
        <v>3978</v>
      </c>
      <c r="D186" t="str">
        <f>VLOOKUP(A186, 'ABC Calc'!$A$2:$G$206, 7, FALSE)</f>
        <v>D</v>
      </c>
    </row>
    <row r="187" spans="1:4" x14ac:dyDescent="0.25">
      <c r="A187">
        <v>1024</v>
      </c>
      <c r="B187" t="s">
        <v>188</v>
      </c>
      <c r="C187">
        <f>VLOOKUP(A187,[1]Sheet7!$F$4:$I$209,4,FALSE)</f>
        <v>3416</v>
      </c>
      <c r="D187" t="str">
        <f>VLOOKUP(A187, 'ABC Calc'!$A$2:$G$206, 7, FALSE)</f>
        <v>D</v>
      </c>
    </row>
    <row r="188" spans="1:4" x14ac:dyDescent="0.25">
      <c r="A188">
        <v>1075</v>
      </c>
      <c r="B188" t="s">
        <v>189</v>
      </c>
      <c r="C188">
        <f>VLOOKUP(A188,[1]Sheet7!$F$4:$I$209,4,FALSE)</f>
        <v>3075</v>
      </c>
      <c r="D188" t="str">
        <f>VLOOKUP(A188, 'ABC Calc'!$A$2:$G$206, 7, FALSE)</f>
        <v>D</v>
      </c>
    </row>
    <row r="189" spans="1:4" x14ac:dyDescent="0.25">
      <c r="A189">
        <v>1121</v>
      </c>
      <c r="B189" t="s">
        <v>190</v>
      </c>
      <c r="C189">
        <f>VLOOKUP(A189,[1]Sheet7!$F$4:$I$209,4,FALSE)</f>
        <v>3024</v>
      </c>
      <c r="D189" t="str">
        <f>VLOOKUP(A189, 'ABC Calc'!$A$2:$G$206, 7, FALSE)</f>
        <v>D</v>
      </c>
    </row>
    <row r="190" spans="1:4" x14ac:dyDescent="0.25">
      <c r="A190">
        <v>1148</v>
      </c>
      <c r="B190" t="s">
        <v>191</v>
      </c>
      <c r="C190">
        <f>VLOOKUP(A190,[1]Sheet7!$F$4:$I$209,4,FALSE)</f>
        <v>2960</v>
      </c>
      <c r="D190" t="str">
        <f>VLOOKUP(A190, 'ABC Calc'!$A$2:$G$206, 7, FALSE)</f>
        <v>D</v>
      </c>
    </row>
    <row r="191" spans="1:4" x14ac:dyDescent="0.25">
      <c r="A191">
        <v>1103</v>
      </c>
      <c r="B191" t="s">
        <v>192</v>
      </c>
      <c r="C191">
        <f>VLOOKUP(A191,[1]Sheet7!$F$4:$I$209,4,FALSE)</f>
        <v>2907</v>
      </c>
      <c r="D191" t="str">
        <f>VLOOKUP(A191, 'ABC Calc'!$A$2:$G$206, 7, FALSE)</f>
        <v>D</v>
      </c>
    </row>
    <row r="192" spans="1:4" x14ac:dyDescent="0.25">
      <c r="A192">
        <v>1097</v>
      </c>
      <c r="B192" t="s">
        <v>193</v>
      </c>
      <c r="C192">
        <f>VLOOKUP(A192,[1]Sheet7!$F$4:$I$209,4,FALSE)</f>
        <v>2839</v>
      </c>
      <c r="D192" t="str">
        <f>VLOOKUP(A192, 'ABC Calc'!$A$2:$G$206, 7, FALSE)</f>
        <v>D</v>
      </c>
    </row>
    <row r="193" spans="1:4" x14ac:dyDescent="0.25">
      <c r="A193">
        <v>1076</v>
      </c>
      <c r="B193" t="s">
        <v>194</v>
      </c>
      <c r="C193">
        <f>VLOOKUP(A193,[1]Sheet7!$F$4:$I$209,4,FALSE)</f>
        <v>2592</v>
      </c>
      <c r="D193" t="str">
        <f>VLOOKUP(A193, 'ABC Calc'!$A$2:$G$206, 7, FALSE)</f>
        <v>D</v>
      </c>
    </row>
    <row r="194" spans="1:4" x14ac:dyDescent="0.25">
      <c r="A194">
        <v>1019</v>
      </c>
      <c r="B194" t="s">
        <v>195</v>
      </c>
      <c r="C194">
        <f>VLOOKUP(A194,[1]Sheet7!$F$4:$I$209,4,FALSE)</f>
        <v>2500</v>
      </c>
      <c r="D194" t="str">
        <f>VLOOKUP(A194, 'ABC Calc'!$A$2:$G$206, 7, FALSE)</f>
        <v>D</v>
      </c>
    </row>
    <row r="195" spans="1:4" x14ac:dyDescent="0.25">
      <c r="A195">
        <v>1120</v>
      </c>
      <c r="B195" t="s">
        <v>196</v>
      </c>
      <c r="C195">
        <f>VLOOKUP(A195,[1]Sheet7!$F$4:$I$209,4,FALSE)</f>
        <v>2490</v>
      </c>
      <c r="D195" t="str">
        <f>VLOOKUP(A195, 'ABC Calc'!$A$2:$G$206, 7, FALSE)</f>
        <v>D</v>
      </c>
    </row>
    <row r="196" spans="1:4" x14ac:dyDescent="0.25">
      <c r="A196">
        <v>1105</v>
      </c>
      <c r="B196" t="s">
        <v>197</v>
      </c>
      <c r="C196">
        <f>VLOOKUP(A196,[1]Sheet7!$F$4:$I$209,4,FALSE)</f>
        <v>2330</v>
      </c>
      <c r="D196" t="str">
        <f>VLOOKUP(A196, 'ABC Calc'!$A$2:$G$206, 7, FALSE)</f>
        <v>D</v>
      </c>
    </row>
    <row r="197" spans="1:4" x14ac:dyDescent="0.25">
      <c r="A197">
        <v>1144</v>
      </c>
      <c r="B197" t="s">
        <v>198</v>
      </c>
      <c r="C197">
        <f>VLOOKUP(A197,[1]Sheet7!$F$4:$I$209,4,FALSE)</f>
        <v>2275</v>
      </c>
      <c r="D197" t="str">
        <f>VLOOKUP(A197, 'ABC Calc'!$A$2:$G$206, 7, FALSE)</f>
        <v>D</v>
      </c>
    </row>
    <row r="198" spans="1:4" x14ac:dyDescent="0.25">
      <c r="A198">
        <v>1109</v>
      </c>
      <c r="B198" t="s">
        <v>199</v>
      </c>
      <c r="C198">
        <f>VLOOKUP(A198,[1]Sheet7!$F$4:$I$209,4,FALSE)</f>
        <v>2235</v>
      </c>
      <c r="D198" t="str">
        <f>VLOOKUP(A198, 'ABC Calc'!$A$2:$G$206, 7, FALSE)</f>
        <v>D</v>
      </c>
    </row>
    <row r="199" spans="1:4" x14ac:dyDescent="0.25">
      <c r="A199">
        <v>1115</v>
      </c>
      <c r="B199" t="s">
        <v>200</v>
      </c>
      <c r="C199">
        <f>VLOOKUP(A199,[1]Sheet7!$F$4:$I$209,4,FALSE)</f>
        <v>2211</v>
      </c>
      <c r="D199" t="str">
        <f>VLOOKUP(A199, 'ABC Calc'!$A$2:$G$206, 7, FALSE)</f>
        <v>D</v>
      </c>
    </row>
    <row r="200" spans="1:4" x14ac:dyDescent="0.25">
      <c r="A200">
        <v>1123</v>
      </c>
      <c r="B200" t="s">
        <v>201</v>
      </c>
      <c r="C200">
        <f>VLOOKUP(A200,[1]Sheet7!$F$4:$I$209,4,FALSE)</f>
        <v>1830</v>
      </c>
      <c r="D200" t="str">
        <f>VLOOKUP(A200, 'ABC Calc'!$A$2:$G$206, 7, FALSE)</f>
        <v>D</v>
      </c>
    </row>
    <row r="201" spans="1:4" x14ac:dyDescent="0.25">
      <c r="A201">
        <v>1113</v>
      </c>
      <c r="B201" t="s">
        <v>202</v>
      </c>
      <c r="C201">
        <f>VLOOKUP(A201,[1]Sheet7!$F$4:$I$209,4,FALSE)</f>
        <v>1582</v>
      </c>
      <c r="D201" t="str">
        <f>VLOOKUP(A201, 'ABC Calc'!$A$2:$G$206, 7, FALSE)</f>
        <v>D</v>
      </c>
    </row>
    <row r="202" spans="1:4" x14ac:dyDescent="0.25">
      <c r="A202">
        <v>1016</v>
      </c>
      <c r="B202" t="s">
        <v>203</v>
      </c>
      <c r="C202">
        <f>VLOOKUP(A202,[1]Sheet7!$F$4:$I$209,4,FALSE)</f>
        <v>1580</v>
      </c>
      <c r="D202" t="str">
        <f>VLOOKUP(A202, 'ABC Calc'!$A$2:$G$206, 7, FALSE)</f>
        <v>D</v>
      </c>
    </row>
    <row r="203" spans="1:4" x14ac:dyDescent="0.25">
      <c r="A203">
        <v>1083</v>
      </c>
      <c r="B203" t="s">
        <v>204</v>
      </c>
      <c r="C203">
        <f>VLOOKUP(A203,[1]Sheet7!$F$4:$I$209,4,FALSE)</f>
        <v>1533</v>
      </c>
      <c r="D203" t="str">
        <f>VLOOKUP(A203, 'ABC Calc'!$A$2:$G$206, 7, FALSE)</f>
        <v>D</v>
      </c>
    </row>
    <row r="204" spans="1:4" x14ac:dyDescent="0.25">
      <c r="A204">
        <v>1013</v>
      </c>
      <c r="B204" t="s">
        <v>205</v>
      </c>
      <c r="C204">
        <f>VLOOKUP(A204,[1]Sheet7!$F$4:$I$209,4,FALSE)</f>
        <v>1368</v>
      </c>
      <c r="D204" t="str">
        <f>VLOOKUP(A204, 'ABC Calc'!$A$2:$G$206, 7, FALSE)</f>
        <v>D</v>
      </c>
    </row>
    <row r="205" spans="1:4" x14ac:dyDescent="0.25">
      <c r="A205">
        <v>1086</v>
      </c>
      <c r="B205" t="s">
        <v>206</v>
      </c>
      <c r="C205">
        <f>VLOOKUP(A205,[1]Sheet7!$F$4:$I$209,4,FALSE)</f>
        <v>1152</v>
      </c>
      <c r="D205" t="str">
        <f>VLOOKUP(A205, 'ABC Calc'!$A$2:$G$206, 7, FALSE)</f>
        <v>D</v>
      </c>
    </row>
    <row r="206" spans="1:4" x14ac:dyDescent="0.25">
      <c r="A206">
        <v>1015</v>
      </c>
      <c r="B206" t="s">
        <v>207</v>
      </c>
      <c r="C206">
        <f>VLOOKUP(A206,[1]Sheet7!$F$4:$I$209,4,FALSE)</f>
        <v>675</v>
      </c>
      <c r="D206" t="str">
        <f>VLOOKUP(A206, 'ABC Calc'!$A$2:$G$206, 7, FALSE)</f>
        <v>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A0EF5-756D-4EBF-B695-C46D8D47F62C}">
  <dimension ref="A1:W24"/>
  <sheetViews>
    <sheetView workbookViewId="0">
      <selection activeCell="B20" sqref="B20:C24"/>
    </sheetView>
  </sheetViews>
  <sheetFormatPr defaultRowHeight="15" x14ac:dyDescent="0.25"/>
  <cols>
    <col min="1" max="3" width="14.7109375" customWidth="1"/>
    <col min="4" max="4" width="22.85546875" customWidth="1"/>
    <col min="5" max="6" width="13.5703125" customWidth="1"/>
    <col min="7" max="7" width="19.5703125" customWidth="1"/>
    <col min="8" max="8" width="29.140625" customWidth="1"/>
    <col min="9" max="9" width="21.5703125" customWidth="1"/>
    <col min="10" max="10" width="31.5703125" customWidth="1"/>
    <col min="11" max="11" width="17.5703125" customWidth="1"/>
    <col min="12" max="12" width="19.85546875" customWidth="1"/>
    <col min="13" max="13" width="12.140625" customWidth="1"/>
    <col min="21" max="21" width="27.5703125" customWidth="1"/>
    <col min="22" max="22" width="23.28515625" customWidth="1"/>
    <col min="23" max="23" width="31.42578125" customWidth="1"/>
    <col min="24" max="24" width="30.85546875" customWidth="1"/>
  </cols>
  <sheetData>
    <row r="1" spans="1:23" x14ac:dyDescent="0.25">
      <c r="A1" t="s">
        <v>0</v>
      </c>
      <c r="B1" t="s">
        <v>239</v>
      </c>
      <c r="C1" t="s">
        <v>226</v>
      </c>
      <c r="D1" t="s">
        <v>262</v>
      </c>
      <c r="E1" t="s">
        <v>261</v>
      </c>
      <c r="F1" t="s">
        <v>263</v>
      </c>
      <c r="G1" t="s">
        <v>257</v>
      </c>
      <c r="H1" t="s">
        <v>259</v>
      </c>
      <c r="I1" t="s">
        <v>258</v>
      </c>
      <c r="J1" t="s">
        <v>260</v>
      </c>
      <c r="T1" s="24" t="s">
        <v>225</v>
      </c>
      <c r="U1" s="24"/>
      <c r="V1" s="24"/>
    </row>
    <row r="2" spans="1:23" x14ac:dyDescent="0.25">
      <c r="A2">
        <v>1170</v>
      </c>
      <c r="B2" t="s">
        <v>212</v>
      </c>
      <c r="C2" s="16">
        <v>0.98</v>
      </c>
      <c r="D2" s="16">
        <f>_xlfn.NORM.S.INV(C2)</f>
        <v>2.0537489106318221</v>
      </c>
      <c r="E2" s="16">
        <f>D2*(SQRT(((H2^2)*I2)+((J2^2)*(G2^2))))</f>
        <v>62.497853753382287</v>
      </c>
      <c r="F2" s="16">
        <f>(G2*I2)+E2</f>
        <v>125.49785375338229</v>
      </c>
      <c r="G2">
        <v>21</v>
      </c>
      <c r="H2">
        <v>10.53</v>
      </c>
      <c r="I2">
        <v>3</v>
      </c>
      <c r="J2">
        <v>1.1599999999999999</v>
      </c>
    </row>
    <row r="3" spans="1:23" x14ac:dyDescent="0.25">
      <c r="A3">
        <v>1036</v>
      </c>
      <c r="B3" t="s">
        <v>213</v>
      </c>
      <c r="C3" s="16">
        <v>0.95</v>
      </c>
      <c r="D3" s="16">
        <f t="shared" ref="D3:D5" si="0">_xlfn.NORM.S.INV(C3)</f>
        <v>1.6448536269514715</v>
      </c>
      <c r="E3" s="16">
        <f t="shared" ref="E3:E5" si="1">D3*(SQRT(((H3^2)*I3)+((J3^2)*(G3^2))))</f>
        <v>61.12645450431441</v>
      </c>
      <c r="F3" s="16">
        <f>(G3*I3)+E3</f>
        <v>113.12645450431441</v>
      </c>
      <c r="G3">
        <v>13</v>
      </c>
      <c r="H3">
        <v>12.95</v>
      </c>
      <c r="I3">
        <v>4</v>
      </c>
      <c r="J3">
        <v>2.0499999999999998</v>
      </c>
      <c r="T3" t="s">
        <v>210</v>
      </c>
      <c r="U3" t="s">
        <v>228</v>
      </c>
      <c r="V3" t="s">
        <v>226</v>
      </c>
      <c r="W3" t="s">
        <v>231</v>
      </c>
    </row>
    <row r="4" spans="1:23" x14ac:dyDescent="0.25">
      <c r="A4">
        <v>1160</v>
      </c>
      <c r="B4" t="s">
        <v>214</v>
      </c>
      <c r="C4" s="16">
        <v>0.88</v>
      </c>
      <c r="D4" s="16">
        <f t="shared" si="0"/>
        <v>1.1749867920660904</v>
      </c>
      <c r="E4" s="16">
        <f t="shared" si="1"/>
        <v>73.81844211375325</v>
      </c>
      <c r="F4" s="16">
        <f>(G4*I4)+E4</f>
        <v>157.81844211375324</v>
      </c>
      <c r="G4">
        <v>14</v>
      </c>
      <c r="H4">
        <v>14</v>
      </c>
      <c r="I4">
        <v>6</v>
      </c>
      <c r="J4">
        <v>3.76</v>
      </c>
      <c r="T4" t="s">
        <v>212</v>
      </c>
      <c r="U4" t="s">
        <v>227</v>
      </c>
      <c r="V4" s="5">
        <v>0.98</v>
      </c>
      <c r="W4" s="5" t="s">
        <v>232</v>
      </c>
    </row>
    <row r="5" spans="1:23" x14ac:dyDescent="0.25">
      <c r="A5">
        <v>1024</v>
      </c>
      <c r="B5" t="s">
        <v>215</v>
      </c>
      <c r="C5" s="16">
        <v>0.7</v>
      </c>
      <c r="D5" s="16">
        <f t="shared" si="0"/>
        <v>0.52440051270804078</v>
      </c>
      <c r="E5" s="16">
        <f t="shared" si="1"/>
        <v>18.28694066489555</v>
      </c>
      <c r="F5" s="16">
        <f>(G5*I5)+E5</f>
        <v>48.286940664895553</v>
      </c>
      <c r="G5">
        <v>15</v>
      </c>
      <c r="H5">
        <v>22</v>
      </c>
      <c r="I5">
        <v>2</v>
      </c>
      <c r="J5">
        <v>1.05</v>
      </c>
      <c r="T5" t="s">
        <v>213</v>
      </c>
      <c r="U5" t="s">
        <v>229</v>
      </c>
      <c r="V5" s="5">
        <v>0.95</v>
      </c>
      <c r="W5" s="5" t="s">
        <v>218</v>
      </c>
    </row>
    <row r="6" spans="1:23" x14ac:dyDescent="0.25">
      <c r="T6" t="s">
        <v>214</v>
      </c>
      <c r="U6" t="s">
        <v>219</v>
      </c>
      <c r="V6" s="5">
        <v>0.88</v>
      </c>
      <c r="W6" s="5" t="s">
        <v>233</v>
      </c>
    </row>
    <row r="7" spans="1:23" x14ac:dyDescent="0.25">
      <c r="T7" t="s">
        <v>215</v>
      </c>
      <c r="U7" t="s">
        <v>230</v>
      </c>
      <c r="V7" s="5">
        <v>0.7</v>
      </c>
      <c r="W7" s="5" t="s">
        <v>234</v>
      </c>
    </row>
    <row r="12" spans="1:23" x14ac:dyDescent="0.25">
      <c r="A12" t="s">
        <v>264</v>
      </c>
    </row>
    <row r="13" spans="1:23" x14ac:dyDescent="0.25">
      <c r="A13" t="s">
        <v>265</v>
      </c>
    </row>
    <row r="14" spans="1:23" x14ac:dyDescent="0.25">
      <c r="B14" t="s">
        <v>266</v>
      </c>
      <c r="T14" t="s">
        <v>217</v>
      </c>
    </row>
    <row r="15" spans="1:23" x14ac:dyDescent="0.25">
      <c r="B15" t="s">
        <v>267</v>
      </c>
      <c r="T15" t="s">
        <v>210</v>
      </c>
    </row>
    <row r="16" spans="1:23" x14ac:dyDescent="0.25">
      <c r="B16" t="s">
        <v>268</v>
      </c>
      <c r="T16" t="s">
        <v>212</v>
      </c>
      <c r="U16" t="s">
        <v>218</v>
      </c>
      <c r="V16" t="s">
        <v>221</v>
      </c>
    </row>
    <row r="17" spans="1:22" x14ac:dyDescent="0.25">
      <c r="B17" t="s">
        <v>269</v>
      </c>
      <c r="T17" t="s">
        <v>213</v>
      </c>
      <c r="U17" t="s">
        <v>219</v>
      </c>
      <c r="V17" t="s">
        <v>222</v>
      </c>
    </row>
    <row r="18" spans="1:22" x14ac:dyDescent="0.25">
      <c r="T18" t="s">
        <v>214</v>
      </c>
      <c r="U18" t="s">
        <v>220</v>
      </c>
      <c r="V18" t="s">
        <v>223</v>
      </c>
    </row>
    <row r="19" spans="1:22" x14ac:dyDescent="0.25">
      <c r="A19" t="s">
        <v>270</v>
      </c>
      <c r="T19" t="s">
        <v>215</v>
      </c>
      <c r="U19" t="s">
        <v>216</v>
      </c>
      <c r="V19" t="s">
        <v>224</v>
      </c>
    </row>
    <row r="20" spans="1:22" x14ac:dyDescent="0.25">
      <c r="B20" s="25" t="s">
        <v>210</v>
      </c>
      <c r="C20" s="25" t="s">
        <v>226</v>
      </c>
    </row>
    <row r="21" spans="1:22" x14ac:dyDescent="0.25">
      <c r="B21" s="25" t="s">
        <v>212</v>
      </c>
      <c r="C21" s="26">
        <v>0.98</v>
      </c>
    </row>
    <row r="22" spans="1:22" x14ac:dyDescent="0.25">
      <c r="B22" s="25" t="s">
        <v>213</v>
      </c>
      <c r="C22" s="26">
        <v>0.95</v>
      </c>
    </row>
    <row r="23" spans="1:22" x14ac:dyDescent="0.25">
      <c r="B23" s="25" t="s">
        <v>214</v>
      </c>
      <c r="C23" s="26">
        <v>0.88</v>
      </c>
    </row>
    <row r="24" spans="1:22" x14ac:dyDescent="0.25">
      <c r="B24" s="25" t="s">
        <v>215</v>
      </c>
      <c r="C24" s="26">
        <v>0.7</v>
      </c>
    </row>
  </sheetData>
  <mergeCells count="1">
    <mergeCell ref="T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Given</vt:lpstr>
      <vt:lpstr>Sales</vt:lpstr>
      <vt:lpstr>Hits</vt:lpstr>
      <vt:lpstr>ABC Calc</vt:lpstr>
      <vt:lpstr>Sales Summary</vt:lpstr>
      <vt:lpstr>Part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Vanajakumari</dc:creator>
  <cp:lastModifiedBy>Michele Mason</cp:lastModifiedBy>
  <dcterms:created xsi:type="dcterms:W3CDTF">2015-06-05T18:17:20Z</dcterms:created>
  <dcterms:modified xsi:type="dcterms:W3CDTF">2025-11-17T17:45:37Z</dcterms:modified>
</cp:coreProperties>
</file>